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bea/Documents/AI4CI/projects/comment_summariser/comment_crunch/outputs/topic_model/bertopic_less_topics/"/>
    </mc:Choice>
  </mc:AlternateContent>
  <xr:revisionPtr revIDLastSave="0" documentId="13_ncr:9_{061A5E11-B7D0-EF46-8C8E-DDD5BD18CCDD}" xr6:coauthVersionLast="47" xr6:coauthVersionMax="47" xr10:uidLastSave="{00000000-0000-0000-0000-000000000000}"/>
  <bookViews>
    <workbookView xWindow="29580" yWindow="-8980" windowWidth="38060" windowHeight="23500" xr2:uid="{54D01FF7-F729-C947-B9BC-8EC9884500D9}"/>
  </bookViews>
  <sheets>
    <sheet name="object_topics" sheetId="1" r:id="rId1"/>
    <sheet name="neutral_topics" sheetId="4" r:id="rId2"/>
    <sheet name="supports_topic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5" l="1"/>
  <c r="I60" i="5"/>
  <c r="I62" i="5"/>
  <c r="J62" i="5"/>
  <c r="I67" i="5"/>
  <c r="I73" i="5"/>
  <c r="H89" i="5"/>
  <c r="J89" i="5"/>
  <c r="J9" i="4"/>
  <c r="H11" i="4"/>
  <c r="I11" i="4"/>
  <c r="H17" i="4"/>
  <c r="H33" i="4"/>
  <c r="E8" i="1"/>
  <c r="D9" i="1"/>
  <c r="D27" i="1"/>
  <c r="E30" i="1"/>
  <c r="F30" i="1"/>
  <c r="D37" i="1"/>
  <c r="E48" i="1"/>
  <c r="F58" i="1"/>
  <c r="D92" i="1"/>
  <c r="E92" i="1"/>
</calcChain>
</file>

<file path=xl/sharedStrings.xml><?xml version="1.0" encoding="utf-8"?>
<sst xmlns="http://schemas.openxmlformats.org/spreadsheetml/2006/main" count="1555" uniqueCount="1249">
  <si>
    <t>Topic</t>
  </si>
  <si>
    <t>Count</t>
  </si>
  <si>
    <t>Name</t>
  </si>
  <si>
    <t>Representation</t>
  </si>
  <si>
    <t>MaximalMarginalRelevance</t>
  </si>
  <si>
    <t>KeyBERTInspired</t>
  </si>
  <si>
    <t>Representative_Docs</t>
  </si>
  <si>
    <t>doc_1</t>
  </si>
  <si>
    <t>doc_2</t>
  </si>
  <si>
    <t>doc_3</t>
  </si>
  <si>
    <t>-1_the_to_and_of</t>
  </si>
  <si>
    <t>i object to this proposal on several grounds. the consultation period has not been adequate. the proposed building will block light from the church, create a lot of noise and so disrupt the surrounding area. the proposal would create pressure on an already stretched area, parking, schools, doctors, dentists etc. it would also be much taller than other buildings thus is not in keeping with the area.</t>
  </si>
  <si>
    <t>firstly, i have been very concerned by the behaviour of the applicant prior to this particular submission. his 4 previous applications to build on this land, going back to 2006, have been refused. during the intervening period he has systematically removed all the mature trees on the property and has also used black plastic to cover the ground to prevent any growth of plants. he has subsequently submitted an environmental appraisal to indicate that there will be no environmental impact as a result of this development. this is indisputable, as he has already destroyed the habitats that existed on this piece of land. if this environmental appraisal is taken into account and the application is given the go ahead on this basis, it will be seen as a licence for any other developer wishing to build on land that may contain protected species or is part of an area that should be conserved. they will simply remove any such impediments prior to submitting the application. it is imperative that no such precedent is set, and i strongly feel that this application should be refused specifically on these grounds to ensure that the message that barnet planning will not permit such destruction to be used as a means to bypass the conservation regulations.</t>
  </si>
  <si>
    <t>residents of are already surrounded on two sides, as the heritage report itself notes : " a row of terraced houses had been built on either side of, truncating the rear gardens of and dividing the north side of, which also appears to have been redeveloped. " even a quick glance at the satellite map of the area shows is densely populated and surrounded closely by other buildings already ( certainly compared to other streets in the area ) - the proposal appears to be a perfect example of over - development. i am not opposed to developments in the area, however 2x 6 person dwellings would create over - crowding. i would be open to 1 dwelling, potentially with 1 floor above ground. if the windows are above the ground floor, this will allow residents of the new development to overlook our garden and peer into existing flats. while i understand the need for housing in, the new development on nearby is providing a substantial amount of new homes in. the erection of two dwellings in an already densely populated area does not seem to make good sense when there are new buildings with better infrastructure being built elsewhere.</t>
  </si>
  <si>
    <t>0_object_planning_application_following</t>
  </si>
  <si>
    <t>i strongly object to this proposal for the following reasons.</t>
  </si>
  <si>
    <t>i strongly object to this proposal for the following reasons :</t>
  </si>
  <si>
    <t>i strongly object to this proposal for the following reasons</t>
  </si>
  <si>
    <t>1_trees_garden_green_space</t>
  </si>
  <si>
    <t>there is no space for a garden.</t>
  </si>
  <si>
    <t>this development is also contrary to the london plan and is on a greenfield site, not a site as suggested in the application. the proposed hard landscaping in the rear garden will result in the loss of 18 mature trees and loss of green open space adjacent to the nature conservation area.</t>
  </si>
  <si>
    <t>loss of garden / green space :</t>
  </si>
  <si>
    <t>2_parking_traffic_car_already</t>
  </si>
  <si>
    <t>2. traffic and parking :</t>
  </si>
  <si>
    <t>4. parking</t>
  </si>
  <si>
    <t>parking :</t>
  </si>
  <si>
    <t>3_character_design_out_of</t>
  </si>
  <si>
    <t>out of keeping with character of area</t>
  </si>
  <si>
    <t>the proposal would be out of keeping with the design and</t>
  </si>
  <si>
    <t>design and character</t>
  </si>
  <si>
    <t>4_light_sunlight_daylight_loss</t>
  </si>
  <si>
    <t>light</t>
  </si>
  <si>
    <t>light :</t>
  </si>
  <si>
    <t>( c ) light ;</t>
  </si>
  <si>
    <t>5_height_scale_buildings_tall</t>
  </si>
  <si>
    <t>height of the proposed buildings :</t>
  </si>
  <si>
    <t>2. the development is not in keeping with the local area, in part due to its scale and height.</t>
  </si>
  <si>
    <t>6_amenity_impact_on_of</t>
  </si>
  <si>
    <t>* negative impact on the amenity of</t>
  </si>
  <si>
    <t>impact on neighbouring amenity</t>
  </si>
  <si>
    <t>7_park_school_parking_car</t>
  </si>
  <si>
    <t>there is only space for 6 cars in the car park as it is, and if new residents also want to park at this will cause conflict in the block.</t>
  </si>
  <si>
    <t>i object to this development due to the increase in noise and traffic in the area. the road this development is being proposed on is already heavily used at all times of the day ( which you can tell from the bad state of the road ) and will cause more cars and pollution in the area. parking is already a problem and having yet more residents living here would mean even more cars in which there is no space to park them.</t>
  </si>
  <si>
    <t>people from the high road already park over my drive! if the development happens there will be no spaces in to park the cars! as there will be only one parking space and there is going to be flats shop and 2 houses it ' s a residential road and we should be parking our cars here not commuters and people from the high road.</t>
  </si>
  <si>
    <t>8_conservation_heritage_listed_area</t>
  </si>
  <si>
    <t>conservation area</t>
  </si>
  <si>
    <t>negative impact on the conservation area - directly borders the conservation area. ' s own local plan ( 2015 ), policy q22 ( conservation areas ), states that development proposals affecting conservation areas will only be permitted where they preserve the character or appearance of conservation areas by, among other things, protecting the setting including views in and out of the area. the height and massing of the proposed will impact the views from within the conservation area, as well as completely dominating the neighbouring properties. furthermore, should be included within the boundary of the conservation area in accordance with english heritage ' s report.</t>
  </si>
  <si>
    <t>conservation area :</t>
  </si>
  <si>
    <t>9_family_bedroom_housing_social</t>
  </si>
  <si>
    <t>4. large family homes ( 4 bedrooms ) are priority housing in. the council should seek to increase supply of 4 bedroom houses rather than hmos or flats especially on a street that is predominantly family homes. mitigating this loss with 3 small flats that are mostly likely to house single or couple household is not acceptable.</t>
  </si>
  <si>
    <t>is a family community.</t>
  </si>
  <si>
    <t>2. the conversion of what was previously a family home reduces the supply of much needed family accommodation and impacts the mix of housing in the area. there are substantial new builds and conversions being developed but these are all 1 or 2 bedroom at most, but virtually no family homes with gardens, impacting the future population mix through the lack of such properties.</t>
  </si>
  <si>
    <t>10_objections_rejected_application_comments</t>
  </si>
  <si>
    <t>objections :</t>
  </si>
  <si>
    <t>my objections to this application are :</t>
  </si>
  <si>
    <t>11_noise_disruption_pollution_will</t>
  </si>
  <si>
    <t>disruption with noise and building works</t>
  </si>
  <si>
    <t>noise disruption :</t>
  </si>
  <si>
    <t>12_privacy_overlooking_loss_windows</t>
  </si>
  <si>
    <t>* loss of privacy and overlooking</t>
  </si>
  <si>
    <t>overlooking and loss of privacy</t>
  </si>
  <si>
    <t>2 - overlooking and loss of privacy.</t>
  </si>
  <si>
    <t>13_density_overdevelopment_overcrowding_dense</t>
  </si>
  <si>
    <t>overall, this is a case of overdevelopment in an area which already has a high density of residential properties.</t>
  </si>
  <si>
    <t>1 ) overdevelopment and increased density of the road</t>
  </si>
  <si>
    <t>this is overdevelopment and unacceptable density</t>
  </si>
  <si>
    <t>14_bin_refuse_storage_bins</t>
  </si>
  <si>
    <t>the current refuse arrangements are inadequate for the development, particularly with respect to recycling. an affiliated proposal with regard to bin stores ( 212719ful ) has been submitted in summer 2021. the proposal gives detail for the extension of existing four bin stores. however, no calculations are provided to ensure sufficient capacity for both general refuse and recycling will be provided for an increased number of residential units. moreover, the labels on the plans state the new bins will be ' provided for the new apartments ' and thus do nothing address the inadequate provision for existing flats. they will also compromise and reduce the amenity green space that is used by residents.</t>
  </si>
  <si>
    <t>7 ) inadequate provision of refuse and cycle storage : the current refuse arrangements are inadequate for the development, particularly with respect to recycling. an affiliated proposal with regard to bin stores ( 212719ful ) has been submitted in summer 2021. the proposal gives detail for the extension of existing four bin stores. however, no calculations are provided to ensure sufficient capacity for both general refuse and recycling will be provided for an increased number of residential units. moreover, the labels on the plans state the new bins will be " provided for the new apartments " and thus do nothing to address the inadequate provision for existing flats. they will also compromise and reduce the amenity green space that is used by residents.</t>
  </si>
  <si>
    <t>15_safety_dangerous_traffic_fire</t>
  </si>
  <si>
    <t>traffic and safety concerns</t>
  </si>
  <si>
    <t>traffic safety and road access :</t>
  </si>
  <si>
    <t># # # 1. traffic and safety concerns</t>
  </si>
  <si>
    <t>16_dear_regards_email_sir</t>
  </si>
  <si>
    <t>dear sir / madam,</t>
  </si>
  <si>
    <t>17_environment_wildlife_biodiversity_local</t>
  </si>
  <si>
    <t>the environment more.</t>
  </si>
  <si>
    <t>environment</t>
  </si>
  <si>
    <t>the environment.</t>
  </si>
  <si>
    <t>18_congested_parking_already_traffic</t>
  </si>
  <si>
    <t>the building will increase the already congested traffic on.</t>
  </si>
  <si>
    <t>1 ) the road will be congested, there are no parking spaces on the street as it is.</t>
  </si>
  <si>
    <t>this will increase traffic to the area in an already congested area.</t>
  </si>
  <si>
    <t>19_water_drainage_flooding_flood</t>
  </si>
  <si>
    <t>according to the drainage plans, surface water and foul water would flow through the two main outlets on. the drainage systems are already at full capacity in the area and due to that reason, there are frequent overflows of both the surface water and foul water during heavy downpours. the surface water drainage is terrible as on the corner of and, the road always gets flooded during rain. the proposed plan would intensify the existing problem and even lead to more frequent overflows.</t>
  </si>
  <si>
    <t>the vibration from construction work as a result of the enormous new basement, would potentially cause long term problems of subsidence, drainage and increased risk of flooding to adjacent houses. many of these old houses have small victorian basements which are often flooded because of the high water table and pressure on the victorian drainage and sewage system. such a very large new basement at no 63 would increase the flood risk for nearby properties in.</t>
  </si>
  <si>
    <t>water</t>
  </si>
  <si>
    <t>20_height_light_privacy_of</t>
  </si>
  <si>
    <t>4. the height of the proposed building will result in loss of light to the nearby properties.</t>
  </si>
  <si>
    <t>5. the height of the proposed building will result in loss of light to the nearby properties.</t>
  </si>
  <si>
    <t>height and loss of privacy :</t>
  </si>
  <si>
    <t>21_pollution_traffic_noise_parking</t>
  </si>
  <si>
    <t>increase in traffic and pollution.</t>
  </si>
  <si>
    <t>pollution and traffic</t>
  </si>
  <si>
    <t>it will cause increase in noise, traffic congestion and pollution.</t>
  </si>
  <si>
    <t>22_consultation_engagement_process_been</t>
  </si>
  <si>
    <t>consultation with current residents</t>
  </si>
  <si>
    <t>there has been no consultation with residents of the.</t>
  </si>
  <si>
    <t>consultation :</t>
  </si>
  <si>
    <t>23_view_from_the_my</t>
  </si>
  <si>
    <t>4. loss of view. the current view from the back of my property will be blocked by the proposed development.</t>
  </si>
  <si>
    <t>loss our view</t>
  </si>
  <si>
    <t>in our view, the proposed development would :</t>
  </si>
  <si>
    <t>24_affordable_housing_homes_rent</t>
  </si>
  <si>
    <t>no affordable housing</t>
  </si>
  <si>
    <t>this is not affordable housing.</t>
  </si>
  <si>
    <t>25_too_over_development_density</t>
  </si>
  <si>
    <t>over development of area</t>
  </si>
  <si>
    <t>over development of the area.</t>
  </si>
  <si>
    <t>26_impact_parking_on_amenity</t>
  </si>
  <si>
    <t>1. impact on parking.</t>
  </si>
  <si>
    <t>impact on parking</t>
  </si>
  <si>
    <t>27_business_shop_retail_shops</t>
  </si>
  <si>
    <t>3. there are already very good local amenities there and these shop owners, who have been there for years, are likely to be put out of business while the building work is being carried out.</t>
  </si>
  <si>
    <t>28_parking_character_is_traffic</t>
  </si>
  <si>
    <t>this area is already over housed - roads are too narrow for more cars / parking let alone local services such as buses, claiming there will be parking is insufficient - there will be visitors and potentially more cars etc. utilities such as water already is unable to cope effectively. the design of the buildings is also not in keeping with the other houses and this will spoil the area for all. no consideration has been given to the local residents. this will also be an eyesore for surrounding properties as encroaching on and back of houses on significantly more than the current buildings do. i also do not believe that this will be the only application for meadow works and by granting this application, there will be yet again a subsequent application for blocks of flats on the remaining land which has been opposed previously.</t>
  </si>
  <si>
    <t>this is out of keeping with the character of the street and there is already a lack of parking.</t>
  </si>
  <si>
    <t>the proposed development is totally out of keeping with the character of the area and in my opinion is far too high and would be an eyesore. there have been no provisions made for the additional parking that will be required so this will only add to the problem of insufficient parking that already exists. i also believe it will have a negative effect on the traffic and will put a huge strain on the existing community services in the area. i strongly oppose this application.</t>
  </si>
  <si>
    <t>29_ugly_eyesore_visual_an</t>
  </si>
  <si>
    <t>i object to to the proposed development which is ugly, too high and totally out of keeping with the character of the area.</t>
  </si>
  <si>
    <t>the building is ugly</t>
  </si>
  <si>
    <t>it is an ugly design.</t>
  </si>
  <si>
    <t>30_disabled_parking_elderly_accessible</t>
  </si>
  <si>
    <t>4. no disabled access</t>
  </si>
  <si>
    <t>no disabled access</t>
  </si>
  <si>
    <t>- there ' s no provision for disabled parking.</t>
  </si>
  <si>
    <t>31_approved_if_application_planning</t>
  </si>
  <si>
    <t>this development should not be approved by council.</t>
  </si>
  <si>
    <t>if approved this planning application :</t>
  </si>
  <si>
    <t>approved.</t>
  </si>
  <si>
    <t>32_dust_pollution_air_noise</t>
  </si>
  <si>
    <t>there will be an increase in noise and dust pollution to the local residents.</t>
  </si>
  <si>
    <t>2. dust &amp; noise pollution</t>
  </si>
  <si>
    <t>* dust and pollution that will impact</t>
  </si>
  <si>
    <t>33_height_amenity_impact_overbearing</t>
  </si>
  <si>
    <t>5. overbearing and out of scale building ( s ). the current height of the buildings in question are in line with the adjacent properties. increasing the height of the buildings will have a negative and adverse visual impact on the landscape and character of the local area.</t>
  </si>
  <si>
    <t>34_carbon_climate_sustainable_energy</t>
  </si>
  <si>
    <t>climate impact - demolition will release embedded carbon during climate crisis.</t>
  </si>
  <si>
    <t>- the buildings fail on many environmental grounds. they make no attempt to be carbon neutral. this is unacceptable given our climate change targets. reducing carbon dioxide ( co2 ) emissions and adapting to future climate change are priorities for barnet ' s local plan. all developments should aim for zero carbon and ' high levels of environmental awareness and contributes to climate change mitigation and adaptation '. the energy statement submitted states that the development will be able to achieve a 19. 7 % reduction in regulated co2 emissions over part l 2013. on zero carbon it is accepted that this is not achieved and a financial contribution for the ' remaining co2 emissions of 103. 7 tonnes of co2 per will be required '. this is completely unacceptable. to make such an application the year after the un climate change conference in glasgow is particularly disappointing. again, for this reason alone this application should be rejected.</t>
  </si>
  <si>
    <t>35_park_conservation_setting_views</t>
  </si>
  <si>
    <t>is concurrently running a consultation about the conservation area. the proposed development goes against several points made by ' s conservation report. point 3. 50 states one of the greatest risks to the setting of the bpca comes from potential development around the perimeter, citing the existing low - rise buildings contributing much to character of locality, allowing distant views. 2. 33 notes ' s careful design to respond to the setting of the park, with single storey properties near the boundary and heights stepping up further away. 2. 44 states that this makes properties largely invisible from views within the landscape, in the sw direction to which park users turn for sunset views. 2. 32 speaks of the views from and to brockwell park gdns which are notable and should be preserved. in order to respect all these important factors, the scheme could not go ahead as planned. the proposed design with its overbearing height and mass would destroy the character of the locality and the visual amenity enjoyed by park users and general public.</t>
  </si>
  <si>
    <t>36_amenity_visual_impact_character</t>
  </si>
  <si>
    <t>the development would negatively impact on the visual amenity of the area.</t>
  </si>
  <si>
    <t>- impact on neighbouring visual amenity :</t>
  </si>
  <si>
    <t>impact on visual amenity</t>
  </si>
  <si>
    <t>37_value_of_community_the</t>
  </si>
  <si>
    <t>g - value :</t>
  </si>
  <si>
    <t>38_disturbance_noise_from_and</t>
  </si>
  <si>
    <t>noise and disturbance</t>
  </si>
  <si>
    <t>39_thank_thanks_you_many</t>
  </si>
  <si>
    <t>thank you</t>
  </si>
  <si>
    <t>thank you,</t>
  </si>
  <si>
    <t>thank you.</t>
  </si>
  <si>
    <t>40_impact_park_school_on</t>
  </si>
  <si>
    <t>the proposed development would be visible from within, where it would have a damaging effect on the views towards the south boundary of the park. the front elevation on also protrudes towards the road, beyond the plane of the adjacent terrace of historic houses in the conservation area, having a detrimental impact on the appearance and character of the streetscape. the proposed development does not respect this context and so fails to comply with local plan policies q5 and q22.</t>
  </si>
  <si>
    <t>41_attention_your_thank_matter</t>
  </si>
  <si>
    <t>thank you for your attention to this matter.</t>
  </si>
  <si>
    <t>thank you for your attention in this matter.</t>
  </si>
  <si>
    <t>42_yours_sincerely_faithfully_truly</t>
  </si>
  <si>
    <t>yours sincerely,</t>
  </si>
  <si>
    <t>yours sincerely</t>
  </si>
  <si>
    <t>43_garden_parking_space_green</t>
  </si>
  <si>
    <t>for example, any new ' refuse storage ' construction would mean we would have to lose more of the front garden and possibly even the trees. with the proposed ' additional car and cycle parking spaces ' at the front of, would result in the loss of more of the communal front garden area, leading to more noise disturbance and air pollution caused by vehicles. there would be further limited communal garden space for residents.</t>
  </si>
  <si>
    <t>there is one on - street car parking space and 2 spaces in the front garden.</t>
  </si>
  <si>
    <t>f. there is no garden, it is a parking space</t>
  </si>
  <si>
    <t>44_rent_dwelling_bed_viability</t>
  </si>
  <si>
    <t>the scheme offers just 3 extra homes at council rent levels ;</t>
  </si>
  <si>
    <t>the scheme offers just 3 extra homes at council rent levels,</t>
  </si>
  <si>
    <t>* the scheme offers just 3 extra homes at council rent levels,</t>
  </si>
  <si>
    <t>45_park_green_space_trees</t>
  </si>
  <si>
    <t>the area green with trees and a park for everyone to use.</t>
  </si>
  <si>
    <t>the homes on the street will have to look out onto new buildings, where once they had views of trees and low level buildings. it simply is not needed on this land. there is already a park down the road so the excuse of a park being built is not relevant. the children will lose a significant amount of playground in the school as buildings will be moved into the existing spaces. please find more suitable land for your proposal.</t>
  </si>
  <si>
    <t>46_noise_garden_disturbance_disruption</t>
  </si>
  <si>
    <t>4 - over crowding the space. the flats are intended to house up to 24 residents. there is not space for this. this is potentially going to create noise pollution outside. the area is a space where noise is amplified and 24 more residents using our garden is going to cause disruption for existing resident ' s both in and also neighbours in both streets as their back gardens and bedrooms will be affected by the noise.</t>
  </si>
  <si>
    <t>the construction phase of the proposed development will directly impact my right to quiet enjoyment of my own property. the existing garages extend into my immediate neighbour ' s garden and the demolition of said will cause significant disruption ( noise, dust, vibration ) to my property. additionally, with the more recent changes to the way people work, more and more people are working from home all, or part, of the week. the demolition and construction noise will directly impact my ability to work with reasonable quiet from the room at the back of my house ( in line with my right to quiet enjoyment of my property ). this is the only space i have available for this purpose and it will result in my not being able to open any windows to the rear of my property in the milder months and over summer, and thus impacting my right to the comfort and ventilation ( impacted both by noise and dust ).</t>
  </si>
  <si>
    <t>this proposal will create a lot of noise and light disturbance in my garden especially. the police station at the rear of my property has recently been developed and this has caused ongoing noise on and off for the past few years and once occupied will create noise and disturbance in my garden and near my property in what is a quiet residential area.</t>
  </si>
  <si>
    <t>47_family_parking_bedroom_cars</t>
  </si>
  <si>
    <t>the proposal will provide 2 off - street parking bays for 4 of the proposed properties and only 1 off - street parking bay for the other 4 properties. with all 8 of the proposed properties consisting of 4 - bedroom dwellings, the inconsistency with provision of off - street parking to allow for family sized housing indicates the site is being intensely developed without a sufficient provision of off - street parking spaces for family sized units. as previously stated, the majority of families in the local area have at least two cars. this is reflected in the sites ptal rating of 2 which is considered poor in relation to local public transport provision. with the intended use of the site for family housing, further strain on on - street parking capacity will be created as four of the proposed dwellings only have access one off - street parking space. with parking bays already being removed to make way for the development, further pressure will be placed on parking bays by future occupiers and visitors.</t>
  </si>
  <si>
    <t>48_history_of_heritage_this</t>
  </si>
  <si>
    <t>not in keeping with history of the area.</t>
  </si>
  <si>
    <t>2. property history</t>
  </si>
  <si>
    <t>history of the property</t>
  </si>
  <si>
    <t>49_noise_impact_pollution_will</t>
  </si>
  <si>
    <t>1 ) it is planned to access the development through and. this will have a substantial impact for residents during construction and will increase traffic flow subsequently as it will be the main access for the proposed new buildings. this will create noise pollution, congestion and a general loss of amenity to residents and is likely to cause additional parking issues on the estate roads.</t>
  </si>
  <si>
    <t>50_parking_height_scale_tall</t>
  </si>
  <si>
    <t>the proposed conversion of house the building at present dwarfs any other building in the area and the proposal to further increase the size of the building on all sides will as well as in height will only make the building look even more out of place and further encroach on the pavement and high road the number of units proposed and the amount of parking spaces seems disproportionate and will create a parking problem little thought has been given to the increase in traffic the proposal will create not only the residence but they removal vans utility calls deliveries and general traffic into the building turning circles for all of this traffic will need to be carefully considered the wind tunnel effect will be increased by any increase in the size of the building the proposal will increase the strain on local schools dentists doctors which at the moment are under pressure from the the amount of new properties in the area.</t>
  </si>
  <si>
    <t>ludicrous proposal! too many homes on such a restricted area with limited access. at this point already suffers with heavy traffic congestion as vehicles queue to get through the width limits which are adjacent to the only site entrance to this plot of land. lane has become a ' rat run ' at peak times and this can only exacerbate the congestion. 149 homes will overload the public services such as doctors and schools and also increase traffic and difficulty parking in the local shopping areas. there are already substantial new developments nearby which will already put services under strain. in addition, a nine - storey building will be intrusive in such a small area and not in keeping with the local housing and area. i was expecting some form of small - scale development on this land and would have little objection to this, however ; the scale of this proposal is just too expansive for the local area.</t>
  </si>
  <si>
    <t>the proposed height is too tall. it will tower over the existing buildings. there is also the issue of parking which is already at capacity in the local area.</t>
  </si>
  <si>
    <t>51_maintenance_repair_landlord_disrepair</t>
  </si>
  <si>
    <t>maintenance</t>
  </si>
  <si>
    <t>maintenance. "</t>
  </si>
  <si>
    <t>52_neighbour_am_following_object</t>
  </si>
  <si>
    <t>concerned neighbour</t>
  </si>
  <si>
    <t>i am a close neighbour of this property.</t>
  </si>
  <si>
    <t>as a neighbour i strongly object to this</t>
  </si>
  <si>
    <t>53_elderly_asbestos_construction_air</t>
  </si>
  <si>
    <t>air pollution during construction including asbestos risk - much dust and air pollutants will result during the construction in an area where there is a high proportion of vulnerable residents ( elderly and health risks ). also, as with all 1970s build properties, asbestos is present. the asbestos is safe provided it is not disturbed and when it is removed, it requires very careful procedures. high risk that in adequate procedures are put in place. the current homes for lambeth development on the westbury estate has resulted in at least one resident in a neighbouring property being hospitalised due to air pollutants during construction.</t>
  </si>
  <si>
    <t>there will be air pollution during construction, including an asbestos risk - much dust and air pollutants will result during the construction in an area where there is a high proportion of vulnerable residents ( elderly and health risks ). also, as with all 1970s build properties, asbestos is present. the asbestos is safe provided it is not disturbed and when it is removed, it requires very careful procedures. the current homes for lambeth development on the westbury estate has resulted in at least one resident in a neighbouring property being hospitalised due to air pollutants during construction.</t>
  </si>
  <si>
    <t>54_park_height_school_the</t>
  </si>
  <si>
    <t>the height of the proposed buildings are too high and out of keeping with the local area. the height of the buildings overlooking the park will negatively affect the green space and how we feel in our green space.</t>
  </si>
  <si>
    <t>i object to this planning application on the following grounds. firstly, adding an additional storey to the building would be out of keeping with the height of the other buildings on. 75 is already 4 storeys tall from street level ( not including the lower ground storey or the car park below that ). walking up, from the end, it is by far the tallest building at the top of the hill, dwarfing the neighbours by a storey on each side already. the other houses on this road are two to four storeys tall ; the other apartment blocks are low rise buildings of three or four stories. as such, adding an additional floor would be completely out of character with the other buildings on this road.</t>
  </si>
  <si>
    <t>the scale, mass and height of this building is far too big, overbearing and too tall for this road and area. this size of building is totally out of character, it ' s completely unsympathetic to its surroundings and not in keeping with the homes and buildings on and which are all much smaller and lower in height. this huge, overbearing building will tower over and overlook the houses and bungalows on, the top few floors and rooftop playground will result in significant loss of privacy as residents of the flats will be able to see directly bedrooms, living rooms and gardens of our homes. there will be significant loss of daylight / sunlight for homes on, these homes will be in the shadow of this huge building for much of the year, it is essentially a 9 storey building which will tower over the 2 - 3 storey houses and bungalows on. this location is not remotely suitable for a building of this scale, it is a clearly a high - density over - development and needs the ptal rating urgently independently reassessed. clearly, this developer seeks to further increase the number of flats in this building under a false pretext, surely the council has seen this practice time and again by other such developers? i urge the council to act to stop this</t>
  </si>
  <si>
    <t>55_amenity_density_overdevelopment_impact</t>
  </si>
  <si>
    <t>2 ) overdevelopment of the site with 34 + additional people. when taken together with application 203326pandf on the adjacent building the combined impact on existing residents is substantial : 64 + additional people. this is a small site, with the new building being too large for the site, higher than existing 3 storey buildings and inserted too close to other buildings including directly facing two other blocks of flats. density on the site is too high and out of keeping with the suburban local area, which consists of a mix of houses and quality 3 storey purpose built flat blocks each with good community amenity space. there is no communal amenity space provided for in this application.</t>
  </si>
  <si>
    <t>overdevelopment of the site. the density of this particular street corner is already too high with the block of flats needing extra parking space and extra space for rubbish. adding another high - density dwelling in this address will have an adverse impact on the quality of life and general amenity of the street.</t>
  </si>
  <si>
    <t>56_private_sqm_or_for</t>
  </si>
  <si>
    <t>7 ) the access to the proposed property would be over and through private land which does not agree to the planning application.</t>
  </si>
  <si>
    <t>4 ) units for private sale</t>
  </si>
  <si>
    <t>private concerns</t>
  </si>
  <si>
    <t>57_object_objection_flat_strongly</t>
  </si>
  <si>
    <t>i object</t>
  </si>
  <si>
    <t>object</t>
  </si>
  <si>
    <t>58_supply_shortage_water_housing</t>
  </si>
  <si>
    <t>where is the water supply for new flat coming from? not obvious from plans. currently, all flats in building on single ring main water supply. adding in another flat will affect our water pressure in what is an already overloaded system.</t>
  </si>
  <si>
    <t>the application form states that no new water connection would be required however this is incorrect. the water supply is currently connected to 70 main / water supply</t>
  </si>
  <si>
    <t>3 ) water supply</t>
  </si>
  <si>
    <t>59_security_secure_secured_reversions</t>
  </si>
  <si>
    <t>security :</t>
  </si>
  <si>
    <t>security</t>
  </si>
  <si>
    <t>60_inaccurate_inaccuracies_accurate_drawings</t>
  </si>
  <si>
    <t>10. inaccurate or misleading information - the applicant has provided information that is inaccurate, out of date and misleading, such as :</t>
  </si>
  <si>
    <t>2. inaccurate information</t>
  </si>
  <si>
    <t>application are inaccurate.</t>
  </si>
  <si>
    <t>61_storage_contamination_contaminated_fabric</t>
  </si>
  <si>
    <t>the current top floor dwellers use the loft space for storage. if they can no longer access this space there will be reduced storage space in these existing units.</t>
  </si>
  <si>
    <t>2. loss of access to storage space</t>
  </si>
  <si>
    <t>62_quality_poor_accommodation_warranty</t>
  </si>
  <si>
    <t>residential quality</t>
  </si>
  <si>
    <t>5. quality</t>
  </si>
  <si>
    <t>quality</t>
  </si>
  <si>
    <t>63_approved_design_height_the</t>
  </si>
  <si>
    <t>the submitted design &amp; access statement sites already approved basements in the local area as justification for the approval of this application. the size of these already approved basements are much smaller than that proposed, with the approved basement of no. 18 having a finished floor area of 18. 5m2. scaling from the plans again, the internal basement area of this proposal is over 50m2, much too large to use the existing approved basements as a reason for justification.</t>
  </si>
  <si>
    <t>if this application is approved, it will set a precedent allowing other buildings of similar height to be approved by the council. it will become impossible to challenge other tall buildings on the basis of their height, and may result in over - development of the area ;</t>
  </si>
  <si>
    <t>the proposal is completely out of keeping with the character of and such over development should not be approved.</t>
  </si>
  <si>
    <t>64_noise_pollution_density_overcrowding</t>
  </si>
  <si>
    <t>this area is also already heavily congested with traffic and pollution in the form of air and noise and that will only increase with the addition of blocks of flats in the area which is a serious health concern for all residents.</t>
  </si>
  <si>
    <t>- there are 8 flats proposed but only 4 parking spaces. there is already an overcrowding and parking issue on. this would lead to further congestion on the road resulting in traffic and noise pollution.</t>
  </si>
  <si>
    <t>this area is also already heavily congested with traffic and pollution in the form of air and noise and that will only increase with the addition of blocks of flats in the area which is a health concern for all residents.</t>
  </si>
  <si>
    <t>65_crime_illegal_theft_police</t>
  </si>
  <si>
    <t>10. the crime rate will increase and we have lost our police stations so making crime even worse</t>
  </si>
  <si>
    <t>2. possible increase to crime</t>
  </si>
  <si>
    <t>and crime risk.</t>
  </si>
  <si>
    <t>66_species_bats_protected_wild</t>
  </si>
  <si>
    <t>9. illegal harm to protected species.</t>
  </si>
  <si>
    <t>illegal harm to protected species :</t>
  </si>
  <si>
    <t>67_school_children_playground_overlooking</t>
  </si>
  <si>
    <t>the development will overlook the school children ' s playground and other nearby flats.</t>
  </si>
  <si>
    <t>the flats overlooking the school will block the light into the school and playground which is damaging to the physical and mental health of the children, and the flats will overlook the playground which is a safeguarding issue.</t>
  </si>
  <si>
    <t>nearby school - primary school - children privacy and security</t>
  </si>
  <si>
    <t>68_agreement_trust_contract_party</t>
  </si>
  <si>
    <t>i am in agreement with the principle of the scheme but not in the way that it has been presented in the planning application for these reasons.</t>
  </si>
  <si>
    <t>party wall agreement - as the proposed building is less than 3 metres away from our property we will require a party wall agreement before any construction commences in accordance with the law.</t>
  </si>
  <si>
    <t>4. our wall will be adjoining to the development and no party wall agreement has been submitted.</t>
  </si>
  <si>
    <t>69_objections_text_redacted_authority</t>
  </si>
  <si>
    <t>it is crucial that these objections are given due consideration to protect the quality of life and enjoyment of the affected residents and preserve the unique character of our community. i kindly request that the planning authority thoroughly reviews and takes into account the concerns raised in this objection.</t>
  </si>
  <si>
    <t>70_available_not_pending_applications</t>
  </si>
  <si>
    <t>['not available', 'not available', 'not available']</t>
  </si>
  <si>
    <t>not available</t>
  </si>
  <si>
    <t>71_list_historical_inspected_preservation</t>
  </si>
  <si>
    <t>the planning committee of the preservation society have inspected the latest proposed plans for development on this site and wish to object to them for the following reasons :</t>
  </si>
  <si>
    <t>i object to this application for a number of reasons which i list below</t>
  </si>
  <si>
    <t>72_discussion_listen_listening_hearing</t>
  </si>
  <si>
    <t>please listen to the local community and reject this application</t>
  </si>
  <si>
    <t>council please listen to us!!</t>
  </si>
  <si>
    <t>the local council needs to listen to the concerns of residents.</t>
  </si>
  <si>
    <t>73_noise_scale_disruption_height</t>
  </si>
  <si>
    <t>london plan policy d10 ( 2021 ), due to the failure to properly account for the significant disturbance and disruption caused by the construction of large - scale basements, and a failure to properly account for the impact on land and structural stability - noting that the mayor supports the restriction of large - scale basement excavations.</t>
  </si>
  <si>
    <t>o policy d10 of the london plan 2021, due to the failure to properly account for the significant disturbance and disruption caused by the construction of large - scale basements, and a failure to properly account for the impact on land and structural stability - noting that the mayor supports the restriction of large - scale basement excavations.</t>
  </si>
  <si>
    <t>74_unsuitable_for_this_is</t>
  </si>
  <si>
    <t>not in keeping with the area. unsuitable area for housing.</t>
  </si>
  <si>
    <t>this site is totally unsuitable for 6 flats.</t>
  </si>
  <si>
    <t>2 ) site unsuitable</t>
  </si>
  <si>
    <t>75_vulnerable_homeless_people_shelter</t>
  </si>
  <si>
    <t>3 ) homeless provision taken away</t>
  </si>
  <si>
    <t>hi, i object this construction of flats because there is so much vulnerable people / homeless / students struggling in with accommodation, not able to rent or to have support through the night shelter like happened before covid.</t>
  </si>
  <si>
    <t>7. there are vulnerable residents with and young children.</t>
  </si>
  <si>
    <t>76_student_accommodation_university_students</t>
  </si>
  <si>
    <t>6. ) student accommodation also does not contribute to council tax as they are exempt so will only add strain without any further contribution. the nearest university already has student accommodation ( ) next to its campus building. there is no reason to add such buildings here.</t>
  </si>
  <si>
    <t>our area is surrounded by student accommodation, and is already saturated with construction work for another two high rise student buildings.</t>
  </si>
  <si>
    <t>additionally, the amendments still do not adequately demonstrate the need for student accommodation in, and we believe that purpose - built student accommodation is not the most appropriate use for this location.</t>
  </si>
  <si>
    <t>77_digging_retaining_basement_wall</t>
  </si>
  <si>
    <t>3. digging foundations for new development alongside party boundary</t>
  </si>
  <si>
    <t>this is in addition to the basic insanity of digging under the foundations of a more - than - 100 - years - old house on a clay hillside, and i would have concern if they are going to be digging under the party wall, potentially damaging my property.</t>
  </si>
  <si>
    <t>5. i ' m concerned of the impact of digging out a basement.</t>
  </si>
  <si>
    <t>78_mental_health_recovering_illness</t>
  </si>
  <si>
    <t>the effect on the residents ' mental health.</t>
  </si>
  <si>
    <t>mental health impact</t>
  </si>
  <si>
    <t>mental health</t>
  </si>
  <si>
    <t>79_approved_family_unsuitable_dementia</t>
  </si>
  <si>
    <t>5. previous undertakings to restore the site to leisure use : planning permission for the development of no 49 from the former constitutional club into private flats was approved with the proviso that the bowling green would be reinstated for leisure use. this promise was reneged upon but should now be enforced. a subsequent planning application to convert the club section of the building into three flats was rejected on the basis that the property and rear site must be retained for community leisure use.</t>
  </si>
  <si>
    <t>1. planning permission for the development of no 49 from the former constitutional club into private flats was approved with the proviso that the bowling green would be reinstated for leisure use. this promise was reneged upon but should now be enforced. it could be developed as tennis courts or other sports facilities with a clubhouse. a subsequent planning application to convert the club section of the building into three flats was rejected on the basis that the property and rear site must be retained for community leisure use ( policy s1 ).</t>
  </si>
  <si>
    <t>80_read_reading_comments_thank</t>
  </si>
  <si>
    <t>thank you for taking the time to read this.</t>
  </si>
  <si>
    <t>this should read :</t>
  </si>
  <si>
    <t>81_objections_parking_have_developer</t>
  </si>
  <si>
    <t>it is quite frankly ludicrous that the developers for this project have come back to the planning process with only a parking survey. this does not reassure me with regard to the amount of additional vehicles in the area - this will increase. in addition, it in no way goes any way to answering any of my objections or those of other people who have objected to the development. it is quite clear that the developer will continue to make minor alterations to their application in the hope people in the area will forget or not have time to object ( this being the third time we have been asked for comment ). please make a final decision to withhold planning permission from this and all related developments on and do not allow the developer to keep reapplying.</t>
  </si>
  <si>
    <t>82_library_campus_community_uni</t>
  </si>
  <si>
    <t>library needed</t>
  </si>
  <si>
    <t>5. library</t>
  </si>
  <si>
    <t>the library</t>
  </si>
  <si>
    <t>83_compliant_non_standards_not</t>
  </si>
  <si>
    <t>the development is non - compliant with brent planning &amp; building regulations therefore this should be refused.</t>
  </si>
  <si>
    <t>it is not compliant with the council ' s policy that states :</t>
  </si>
  <si>
    <t>the application is not compliant and should be rejected.</t>
  </si>
  <si>
    <t>84_neglect_abandoned_newham_snowshill</t>
  </si>
  <si>
    <t>in addition to the above points, whilst newham council continue to neglect the existing snowshill road properties under their duty of care, we will continue to oppose any planning applications which do not include improvements to the existing properties on the estate. we have already had to battle with the council over several years to rectify major problems related to leaks and whilst some work has been undertaken, the overriding issue has not been resolved. the entire block of flats including our flat, number 91, continue to have leaks on a regular basis in bad weather and the whole building is becoming increasingly more dilapidated, both structurally and cosmetically, day - by - day. the major failings of newham council have not only caused physical damage to property, but also major mental anguish for the residents, ourselves included, details of which have already been outlined in a separate extensive complaint to the council.</t>
  </si>
  <si>
    <t>in addition to the above points, whilst newham council continue to neglect the existing snowshill road properties under their duty of care, we will continue to oppose any planning applications which do not include improvements to the existing properties on the estate. we have already had to battle with the council over several years to rectify major problems related to leaks and whilst some work has been undertaken, the overriding issue has not been resolved. the entire block of flats including our flat, number 97, continue to have leaks on a regular basis in bad weather and the whole building is becoming increasingly more dilapidated, both structurally and cosmetically, day - by - day. the major failings of newham council have not only caused physical damage to property, but also major mental anguish for the residents, ourselves included, details of which have already been outlined in a separate extensive complaint to the council.</t>
  </si>
  <si>
    <t>in addition to the above points, whilst newham council continue to neglect the existing snowshill road properties under their duty of care, we will continue to oppose any planning applications which do not include improvements to the existing properties on the estate. we have already had to battle with the council over several years to rectify major problems related to leaks and whilst some work has been undertaken, the overriding issue has not been resolved. the entire block of flats including our flat, number 89, continue to have leaks on a regular basis in bad weather and the whole building is becoming increasingly more dilapidated, both structurally and cosmetically, day - by - day. the major failings of newham council have not only caused physical damage to property, but also major mental anguish for the residents, ourselves included, details of which have already been outlined in a separate extensive complaint to the council.</t>
  </si>
  <si>
    <t>85_asbestos_contain_may_expose</t>
  </si>
  <si>
    <t>asbestos</t>
  </si>
  <si>
    <t>asbestos :</t>
  </si>
  <si>
    <t>86_bicycle_bike_stands_herne</t>
  </si>
  <si>
    <t>- the statement made in the application that 4 additional bicycle spaces will be provided by having 7 bicycle stands is incorrect, as 7 bicycle stands are already part of the granted planning permission reference : pp / 2015 / 6855 ( although only 5 have been provided - contrary to plan ).</t>
  </si>
  <si>
    <t>87_smell_smells_sewage_tanks</t>
  </si>
  <si>
    <t>ongoing expected smell from thames water ( this is indeed what tw says ) storm tanks makes the new homes somewhat undesirable</t>
  </si>
  <si>
    <t>smell</t>
  </si>
  <si>
    <t>88_xxxxxxxxxxxxxxxxxxxx_xxxxxxxxxxxxxx__</t>
  </si>
  <si>
    <t>- - - - - - - - - - - - - - - - - - - - - - - - - - - - - - - - - - - - - - - - - - - - - - - - - - - - - - - - - - - - - - - - - -</t>
  </si>
  <si>
    <t>xxxxxxxxxxxxxxxxxxxx</t>
  </si>
  <si>
    <t>xxxxxxxxxxxxxx</t>
  </si>
  <si>
    <t>89_compatible_demonstrate_failure_necessary</t>
  </si>
  <si>
    <t>failure to demonstrate that the proposed development is necessary or compatible with the local area.</t>
  </si>
  <si>
    <t>90_interference_defined_unreasonable_principles</t>
  </si>
  <si>
    <t>- in accordance with legal principles, a nuisance is defined as an " unreasonable interference with the use and enjoyment of land. "</t>
  </si>
  <si>
    <t>in accordance with legal principles, a nuisance is defined as an " unreasonable interference with the use and enjoyment of land. "</t>
  </si>
  <si>
    <t>91_degradation_commodities_resources_environmental</t>
  </si>
  <si>
    <t>in a time of environmental degradation, yet again resources are being used to provide commodities and not homes for local people.</t>
  </si>
  <si>
    <t>92_embankment_rail_unstable_regrade</t>
  </si>
  <si>
    <t>other : network rail ( then british rail ) confirmed by letter in the 1980s that the embankment was unstable and that no construction would be allowed alongside the railway. this was in response to residents ' wish to purchase the land and build garages on it for their own use. nothing has been done since that date to stabilise ( regrade ) the embankment.</t>
  </si>
  <si>
    <t>93_drinking_establishments_establishment_food</t>
  </si>
  <si>
    <t>street drinking and anti social behaviour</t>
  </si>
  <si>
    <t>12. oversaturation of drinking establishments in immediate area</t>
  </si>
  <si>
    <t>5. the area would benefit from many other ammenities than more drinking establishments. whilst i understand this adress is within an inner city mixed use guideline there must also be a drinking establishment saturation guideline. the saturation of bars adjacent to and omeara has already been reached for all local residents.</t>
  </si>
  <si>
    <t>94_diversity_trinity_village_cultural</t>
  </si>
  <si>
    <t>the development is also contrary to the diversity requirements of the local plan 2021. section h2, 5. 21 states :</t>
  </si>
  <si>
    <t>the development is also contrary to the diversity requirements of the lambeth local plan 2021.</t>
  </si>
  <si>
    <t>95_invalid_notice_application_served</t>
  </si>
  <si>
    <t>firstly, the information provided to make a commented on the notice is incorrect because the qr code and the link provided on the back of the notice is redirects you to a different planning application not associated with this location. as a result, the notice is invalid and brent ' s planning departments has not correctly served the neighbours with a valid notice in accordance with the town and country planning act 2015.</t>
  </si>
  <si>
    <t>also, my wife has not been served with section b notice, as she is part owner of land which the applicants have included within the application red site line, in order to gain access for bins to be emptied. until such notice is served, the application remains invalid. in the event that the application is determined without service of section b notices, any approval is invalid.</t>
  </si>
  <si>
    <t>i believe this planning application to be invalid for a number of reasons, including :</t>
  </si>
  <si>
    <t>96_emissions_reusing_emission_addresses</t>
  </si>
  <si>
    <t>' in order to deliver this the local plan addresses the level of emissions from the existing building stock, retaining and reusing buildings to avoid the material and energy costs of new development '</t>
  </si>
  <si>
    <t>97_sleep_income_night_workers</t>
  </si>
  <si>
    <t>home workers, night shift workers, nhs workers and children have not been considered in such plan. leaseholders, and council tax payers are entitled to peace and quiet in their homes and this affects those who have to sleep in the day.</t>
  </si>
  <si>
    <t>in order to carry out my job safely i often need to sleep during the day. this proposal will stop me from earning an income or doing my job safely. after two years of basement developments at 4 &amp; the rear house and 15 months of pandemic i cannot afford to lose any more income. if this basement development goes ahead council will be wilfully depriving me of income. i will also seek total recompense and remedial action from the developer under the party wall act.</t>
  </si>
  <si>
    <t>98_again_it__</t>
  </si>
  <si>
    <t>.</t>
  </si>
  <si>
    <t>it.</t>
  </si>
  <si>
    <t>again?</t>
  </si>
  <si>
    <t>i have concerns that the developer has not started construction of blocks h and j. it has had planning permission for 5 years. the developer has stated that the amendments for this part of the scheme are minimal, but how can they know this when they do not have agreed planning permission for the rest of the scheme. they have stated more than once they have no intention of building the plans for which planning has been agreed.</t>
  </si>
  <si>
    <t>this is a comment on behalf of the society. the society does not object to the plans submitted with this application, on the understanding that the ' single storey side extension ' referred to in the description is the one at the rear shown on the plans. the phrase is identical to that on other applications for this property, which proposed a side extension at the front, to which the society would object strongly. any approval given must be absolutely clear as to the side extension that would be permitted.</t>
  </si>
  <si>
    <t>i can confirm that / dlr infrastructure protection has no comment to make on this planning application as submitted.</t>
  </si>
  <si>
    <t>['i can confirm that / dlr infrastructure protection has no comment to make on this planning application as submitted.', "this is a comment on behalf of the society. the society does not object to the plans submitted with this application, on the understanding that the ' single storey side extension ' referred to in the description is the one at the rear shown on the plans. the phrase is identical to that on other applications for this property, which proposed a side extension at the front, to which the society would object strongly. any approval given must be absolutely clear as to the side extension that would be permitted.", 'i have concerns that the developer has not started construction of blocks h and j. it has had planning permission for 5 years. the developer has stated that the amendments for this part of the scheme are minimal, but how can they know this when they do not have agreed planning permission for the rest of the scheme. they have stated more than once they have no intention of building the plans for which planning has been agreed.']</t>
  </si>
  <si>
    <t>['application', 'concerns', 'proposals', 'submitted', 'extension', 'use', 'proposed', 'conditions', 'proposal', 'construction']</t>
  </si>
  <si>
    <t>['the', 'to', 'of', 'and', 'on', 'application', 'that', 'are', 'be', 'this']</t>
  </si>
  <si>
    <t>46_the_to_of_and</t>
  </si>
  <si>
    <t>comments received by email</t>
  </si>
  <si>
    <t>['comments received by email', 'comments received by email', 'comments received by email']</t>
  </si>
  <si>
    <t>['comments', 'comment', 'email', 'received', 'was', 'neutral', 'photos', 'further', '', '']</t>
  </si>
  <si>
    <t>['email', 'received', 'comments', 'by', 'comment', 'neutral', 'photos', 'made', 'further', 'was']</t>
  </si>
  <si>
    <t>45_email_received_comments_by</t>
  </si>
  <si>
    <t>we acknowledge from the additional submission of the transport assessment addendum that active travel routes to and have been considered. however, we reiterate our previous comments that the applicant should consider measures to further encourage river bus use within the proposal, such as promotion of pedestrian and cycle access, healthy streets approach or developer - led piers, as referred to in the pla and transport for london ( tfl ) pier strategy1. our previous comments in relation to public realm improvements and increased permeability for active travel have not been reflected with regard to the use of river based transport. the design and access statement addendum has not addressed our comments on access to the river, pier river transport or river bus with regard to the access strategy. therefore, further consideration should be given to the promotion of the use of river bus as an alternative form of sustainable transport, given the scale of associated development.</t>
  </si>
  <si>
    <t>i oppose to the planning application on the grounds that, whilst the applicant has ' ticked the boxes ' on the engagement front, nearly all the requests made by the local community at the engagement meeting were ignored and there was no significant change in the size or scale of the development after our requests were put to the design team. these requests are not mentioned in the planning documents that i have reviewed, which further supports my point. i would really question the point of the consultation : local residents feel that their comments have not been taken on board. constructive suggestions were made at the time and the design team have failed to make any changes to the design as a result. the 3rd paragraph of the introduction to the design &amp; access statement alludes to the design team ' s approach :</t>
  </si>
  <si>
    <t>i oppose the application because the current design has significant effects on access to sunlight and daylight for the surrounding properties, including my own. this is further proof that the scale of development is excessive and that it will have negative effects on the surrounding community and quality of environment in which we live. i was staggered to see the shadow effects of the development, in particular the tower, on edithna and other streets to the north, as well as on hargwyne street / combermere road in the afternoon and evening. one of the lovely features of my, otherwise north facing, home is that we get sunlight in the afternoon into the living room in which we also work. for this to be blocked out for large proportions of the afternoon / early evening ( depending on the time of year ) would be detrimental to the enjoyment of my home. as a long - standing local resident, investor and contributor to council tax i would hope that lambeth will do their utmost to protect this enjoyment.</t>
  </si>
  <si>
    <t>['i oppose the application because the current design has significant effects on access to sunlight and daylight for the surrounding properties, including my own. this is further proof that the scale of development is excessive and that it will have negative effects on the surrounding community and quality of environment in which we live. i was staggered to see the shadow effects of the development, in particular the tower, on edithna and other streets to the north, as well as on hargwyne street / combermere road in the afternoon and evening. one of the lovely features of my, otherwise north facing, home is that we get sunlight in the afternoon into the living room in which we also work. for this to be blocked out for large proportions of the afternoon / early evening ( depending on the time of year ) would be detrimental to the enjoyment of my home. as a long - standing local resident, investor and contributor to council tax i would hope that lambeth will do their utmost to protect this enjoyment.', "i oppose to the planning application on the grounds that, whilst the applicant has ' ticked the boxes ' on the engagement front, nearly all the requests made by the local community at the engagement meeting were ignored and there was no significant change in the size or scale of the development after our requests were put to the design team. these requests are not mentioned in the planning documents that i have reviewed, which further supports my point. i would really question the point of the consultation : local residents feel that their comments have not been taken on board. constructive suggestions were made at the time and the design team have failed to make any changes to the design as a result. the 3rd paragraph of the introduction to the design &amp; access statement alludes to the design team ' s approach :", 'we acknowledge from the additional submission of the transport assessment addendum that active travel routes to and have been considered. however, we reiterate our previous comments that the applicant should consider measures to further encourage river bus use within the proposal, such as promotion of pedestrian and cycle access, healthy streets approach or developer - led piers, as referred to in the pla and transport for london ( tfl ) pier strategy1. our previous comments in relation to public realm improvements and increased permeability for active travel have not been reflected with regard to the use of river based transport. the design and access statement addendum has not addressed our comments on access to the river, pier river transport or river bus with regard to the access strategy. therefore, further consideration should be given to the promotion of the use of river bus as an alternative form of sustainable transport, given the scale of associated development.']</t>
  </si>
  <si>
    <t>['scale', 'tall', 'height', 'appearance', 'design', 'character', 'massing', 'context', 'size', 'large']</t>
  </si>
  <si>
    <t>['design', 'height', 'scale', 'the', 'in', 'of', 'river', 'and', 'buildings', 'character']</t>
  </si>
  <si>
    <t>44_design_height_scale_the</t>
  </si>
  <si>
    <t>as you are redeveloping a site, there may be public sewers crossing or close to your development. if you discover a sewer, it ' s important that you minimize the risk of damage. we ' ll need to check that your development doesn ' t limit repair or maintenance activities, or inhibit the services we provide in any other way. the applicant is advised to read our guide working near or diverting our pipes. https : / / www. thameswater. co. uk / developers / larger - scale - developments / planning - your - development / working - near - our - pipes</t>
  </si>
  <si>
    <t>there are public sewers crossing or close to your development. if you ' re planning significant work near our sewers, it ' s important that you minimize the risk of damage. we ' ll need to check that your development doesn ' t limit repair or maintenance activities, or inhibit the services we provide in any other way. the applicant is advised to read our guide working near or diverting our pipes. https : / / www. thameswater. co. uk / developers / larger - scale - developments / planning - your - development / working - near - our - pipes</t>
  </si>
  <si>
    <t>the proposed development is located within 15 metres of our underground waste water assets and as such we would like the following informative attached to any approval granted. " the proposed development is located within 15 metres of thames waters underground assets and as such, the development could cause the assets to fail if appropriate measures are not taken. please read our guide ' working near our assets ' to ensure your workings are in line with the necessary processes you need to follow if you ' re considering working above or near our pipes or other structures. https : / / www. thameswater. co. uk / developers / larger - scale - developments / planning - your - development / working - near - our - pipes should you require further information please contact thames water. email : developer. services @ thameswater. co. uk phone : 0800 009 3921 ( monday to friday, 8am to 5pm ) write to : thames water developer services, clearwater court, vastern road, reading, berkshire rg1 8db</t>
  </si>
  <si>
    <t>['the proposed development is located within 15 metres of our underground waste water assets and as such we would like the following informative attached to any approval granted. " the proposed development is located within 15 metres of thames waters underground assets and as such, the development could cause the assets to fail if appropriate measures are not taken. please read our guide \' working near our assets \' to ensure your workings are in line with the necessary processes you need to follow if you \' re considering working above or near our pipes or other structures. https : / / www. thameswater. co. uk / developers / larger - scale - developments / planning - your - development / working - near - our - pipes should you require further information please contact thames water. email : developer. services @ thameswater. co. uk phone : 0800 009 3921 ( monday to friday, 8am to 5pm ) write to : thames water developer services, clearwater court, vastern road, reading, berkshire rg1 8db', "there are public sewers crossing or close to your development. if you ' re planning significant work near our sewers, it ' s important that you minimize the risk of damage. we ' ll need to check that your development doesn ' t limit repair or maintenance activities, or inhibit the services we provide in any other way. the applicant is advised to read our guide working near or diverting our pipes. https : / / www. thameswater. co. uk / developers / larger - scale - developments / planning - your - development / working - near - our - pipes", "as you are redeveloping a site, there may be public sewers crossing or close to your development. if you discover a sewer, it ' s important that you minimize the risk of damage. we ' ll need to check that your development doesn ' t limit repair or maintenance activities, or inhibit the services we provide in any other way. the applicant is advised to read our guide working near or diverting our pipes. https : / / www. thameswater. co. uk / developers / larger - scale - developments / planning - your - development / working - near - our - pipes"]</t>
  </si>
  <si>
    <t>['scale', 'height', 'tall', 'mass', 'large', 'size', 'larger', 'reduce', 'minimum', 'mega']</t>
  </si>
  <si>
    <t>['height', 'scale', 'tall', 'development', 'the', 'our', 'near', 'working', 'to', 'you']</t>
  </si>
  <si>
    <t>43_height_scale_tall_development</t>
  </si>
  <si>
    <t>documents show that the existing nature area and pond at this site will be built over if planning permission is granted. council ' s biodiversity action plan commits to enhancing biodiversity as part of new developments, as do the 2021 london plan policies g5 urban greening and g6 biodiversity and access to nature. to ensure that the proposed development is policy - compliant, therefore, the new nature area and pond should go above and beyond what is being replaced, including a second nature area to the north - west of the site, as recommended in the ecology assessment. there must be a pond within the new development, and there should be many more bird boxes than the four currently being proposed. the applicant, agent and developer should be jointly liable for demonstrating to the council ' s biodiversity officer that they have fully complied with all landscaping and wildlife - friendly features as listed under the terms of any planning permission.</t>
  </si>
  <si>
    <t>it is used by birds both as a food source and a nesting site. although the bottom of the garden is to remain green, with two trees, it is the salix tree which is most used by birds for nesting. the loss of the salix tree, along with the loss of the significant proportion of the garden, causes an overall loss to nature and biodiversity.</t>
  </si>
  <si>
    <t>i advise that the development could cause harm to archaeological remains and field evaluation is needed to determine appropriate mitigation. however, although the nppf envisages evaluation being undertaken prior to determination, in this case consideration of the nature of the development, the archaeological interest and / or practical constraints are such that i consider a two - stage archaeological condition could provide an acceptable safeguard. this would comprise firstly, evaluation to clarify the nature and extent of surviving remains, followed, if necessary, by a full investigation.</t>
  </si>
  <si>
    <t>['i advise that the development could cause harm to archaeological remains and field evaluation is needed to determine appropriate mitigation. however, although the nppf envisages evaluation being undertaken prior to determination, in this case consideration of the nature of the development, the archaeological interest and / or practical constraints are such that i consider a two - stage archaeological condition could provide an acceptable safeguard. this would comprise firstly, evaluation to clarify the nature and extent of surviving remains, followed, if necessary, by a full investigation.', 'it is used by birds both as a food source and a nesting site. although the bottom of the garden is to remain green, with two trees, it is the salix tree which is most used by birds for nesting. the loss of the salix tree, along with the loss of the significant proportion of the garden, causes an overall loss to nature and biodiversity.', "documents show that the existing nature area and pond at this site will be built over if planning permission is granted. council ' s biodiversity action plan commits to enhancing biodiversity as part of new developments, as do the 2021 london plan policies g5 urban greening and g6 biodiversity and access to nature. to ensure that the proposed development is policy - compliant, therefore, the new nature area and pond should go above and beyond what is being replaced, including a second nature area to the north - west of the site, as recommended in the ecology assessment. there must be a pond within the new development, and there should be many more bird boxes than the four currently being proposed. the applicant, agent and developer should be jointly liable for demonstrating to the council ' s biodiversity officer that they have fully complied with all landscaping and wildlife - friendly features as listed under the terms of any planning permission."]</t>
  </si>
  <si>
    <t>['nature', 'garden', 'trees', 'ecology', 'biodiversity', 'wildlife', 'environment', 'birds', 'tree', 'bird']</t>
  </si>
  <si>
    <t>['nature', 'biodiversity', 'the', 'bird', 'of', 'and', 'evaluation', 'to', 'generator', 'bat']</t>
  </si>
  <si>
    <t>42_nature_biodiversity_the_bird</t>
  </si>
  <si>
    <t>the current garden is lower than and the drawings do not indicate this. we would appreciate the opportunity to see more renderings of the street level and clearer pictures showing the change from the current lower garden level and a new house being built to give a better understanding to any loss of light or privacy for surrounding neighbours and if there will be any significant change in view and how elevated the building will be compared to the current garden. it would be helpful to see for example the gradient of a driveway and how this will affect entry and exit onto the street. would this also change the ability to park on the street and would an extension of the current double yellow lines into be considered?</t>
  </si>
  <si>
    <t>i ' m already finished with my work at 6 o ' clock, so i still have a fair amount of time for myself, which i spend very pleasantly walking, reading and writing letters. the neighbourhood where i live is very pretty, and so peaceful and convivial that one almost forgets one is in london. in front of every house is a small garden with flowers or a couple of trees, and many houses are built very tastefully in a sort of gothic style. still, i have to walk for more than 1 hours to reach the countryside. we have a piano in the drawing room, and there are also three germans living here who really love music, which is most agreeable. one of the nicest things i ' ve seen here is rotten row in hyde park, which is a long, broad avenue where hundreds of ladies and gentlemen go riding. in every part of the city there are splendid parks with a wealth of flowers such as i ' ve seen nowhere else. 2 july 1873 from previous lodgings ( possibly greenwich )</t>
  </si>
  <si>
    <t>this planning application looks fine. however, i would like to note that the two large sycamore trees in the front garden should be greatly reduced or removed. they will shroud the property in darkness, and have grown to a large size simply through failure to manage windblown seeding and subsequently to prune them. every year they shower countless thousands of seeds on neighbouring properties causing many saplings to root. unlike the wonderful protected trees on, they offer neither beauty nor green benefit. trees are great. but they need to be managed. these trees were not planted, but are simply large weeds which have sown themselves and rapidly grown to significant size. serious consideration by the council and the owners shd be given to their removal and this would be supported by neighbours. good luck with it all!</t>
  </si>
  <si>
    <t>['this planning application looks fine. however, i would like to note that the two large sycamore trees in the front garden should be greatly reduced or removed. they will shroud the property in darkness, and have grown to a large size simply through failure to manage windblown seeding and subsequently to prune them. every year they shower countless thousands of seeds on neighbouring properties causing many saplings to root. unlike the wonderful protected trees on, they offer neither beauty nor green benefit. trees are great. but they need to be managed. these trees were not planted, but are simply large weeds which have sown themselves and rapidly grown to significant size. serious consideration by the council and the owners shd be given to their removal and this would be supported by neighbours. good luck with it all!', "i ' m already finished with my work at 6 o ' clock, so i still have a fair amount of time for myself, which i spend very pleasantly walking, reading and writing letters. the neighbourhood where i live is very pretty, and so peaceful and convivial that one almost forgets one is in london. in front of every house is a small garden with flowers or a couple of trees, and many houses are built very tastefully in a sort of gothic style. still, i have to walk for more than 1 hours to reach the countryside. we have a piano in the drawing room, and there are also three germans living here who really love music, which is most agreeable. one of the nicest things i ' ve seen here is rotten row in hyde park, which is a long, broad avenue where hundreds of ladies and gentlemen go riding. in every part of the city there are splendid parks with a wealth of flowers such as i ' ve seen nowhere else. 2 july 1873 from previous lodgings ( possibly greenwich )", 'the current garden is lower than and the drawings do not indicate this. we would appreciate the opportunity to see more renderings of the street level and clearer pictures showing the change from the current lower garden level and a new house being built to give a better understanding to any loss of light or privacy for surrounding neighbours and if there will be any significant change in view and how elevated the building will be compared to the current garden. it would be helpful to see for example the gradient of a driveway and how this will affect entry and exit onto the street. would this also change the ability to park on the street and would an extension of the current double yellow lines into be considered?']</t>
  </si>
  <si>
    <t>['trees', 'garden', 'look', 'appearance', 'design', 'character', 'flowers', 'planted', 'green', 'privacy']</t>
  </si>
  <si>
    <t>['garden', 'privacy', 'of', 'and', 'the', 'trees', 'would', 'to', 'is', 'into']</t>
  </si>
  <si>
    <t>41_garden_privacy_of_and</t>
  </si>
  <si>
    <t>it ' s concerning to see that so many ( almost all ) trees are to be felled, particularly at a time of more frequent heatwaves. this area already lacks trees, and in order to cool built - up urban spaces, it would be important not just to plant new trees but to keep as many mature trees as possible. hopefully this forms part of council ' s commitment to tackling the climate crisis and will be given enhanced consideration.</t>
  </si>
  <si>
    <t>( point 9 ) referred to retaining existing trees on the boundary but they had already been removed. we would request that a stipulation of planning would be that a planting schedule would include mature evergreen trees to replace those that have been removed. a higher fence should also be a stipulation of planning.</t>
  </si>
  <si>
    <t>the boundary between the two properties is defined by numerous mature trees which provide a natural screening. the drawings show that some of the trees will be felled.</t>
  </si>
  <si>
    <t>['the boundary between the two properties is defined by numerous mature trees which provide a natural screening. the drawings show that some of the trees will be felled.', '( point 9 ) referred to retaining existing trees on the boundary but they had already been removed. we would request that a stipulation of planning would be that a planting schedule would include mature evergreen trees to replace those that have been removed. a higher fence should also be a stipulation of planning.', "it ' s concerning to see that so many ( almost all ) trees are to be felled, particularly at a time of more frequent heatwaves. this area already lacks trees, and in order to cool built - up urban spaces, it would be important not just to plant new trees but to keep as many mature trees as possible. hopefully this forms part of council ' s commitment to tackling the climate crisis and will be given enhanced consideration."]</t>
  </si>
  <si>
    <t>['trees', 'tree', 'forest', 'apples', 'planting', 'plantings', 'natural', 'run', 'gardner', 'fence']</t>
  </si>
  <si>
    <t>['trees', 'mature', 'tree', 'removed', 'to', 'heave', 'boundary', 'be', 'the', 'completely']</t>
  </si>
  <si>
    <t>40_trees_mature_tree_removed</t>
  </si>
  <si>
    <t>1. garden area</t>
  </si>
  <si>
    <t>we don ' t have any objections to the proposed application plan. but i do have a few concerns relating to the plans which i need clarification if they arise. firstly we need assurances that our natural light in the rear / garden does not get affected in any way by being blocked or shadowed via the extension. also we understand when the work commences there will be noise and disturbance due to building works. as long as these are within the time guidelines we have no issues. with the works going on we also will be restricted to opening the windows in the rear of our property due to dirt and dust. if our rear windows get all dusty and dirty who is going to be responsible for getting them cleaned? our other concern is we have a rear flat roof so when the work commences we don ' t want our roof to be used for the builders under any circumstance to be used for materials and a storage space whilst they are working. another concern is whilst the work will be going on what if there is internal damage to my property e. g due to the works there is structural damage e. g cracks in walls who is going to take responsibility for this if it happens.</t>
  </si>
  <si>
    <t>2. garden - the plans do not make it clear that the garden at the rear belongs to me as owner of 78a southover, n12 7hb and i have exclusive use. the owner of 78 southover will have no access rights to the garden. i am happy to provide highlighted drawings. to make it clear the garden at 78 southover is not part of the proposal as it part of my lease for 78a southover, n12 7hb.</t>
  </si>
  <si>
    <t>['2. garden - the plans do not make it clear that the garden at the rear belongs to me as owner of 78a southover, n12 7hb and i have exclusive use. the owner of 78 southover will have no access rights to the garden. i am happy to provide highlighted drawings. to make it clear the garden at 78 southover is not part of the proposal as it part of my lease for 78a southover, n12 7hb.', "we don ' t have any objections to the proposed application plan. but i do have a few concerns relating to the plans which i need clarification if they arise. firstly we need assurances that our natural light in the rear / garden does not get affected in any way by being blocked or shadowed via the extension. also we understand when the work commences there will be noise and disturbance due to building works. as long as these are within the time guidelines we have no issues. with the works going on we also will be restricted to opening the windows in the rear of our property due to dirt and dust. if our rear windows get all dusty and dirty who is going to be responsible for getting them cleaned? our other concern is we have a rear flat roof so when the work commences we don ' t want our roof to be used for the builders under any circumstance to be used for materials and a storage space whilst they are working. another concern is whilst the work will be going on what if there is internal damage to my property e. g due to the works there is structural damage e. g cracks in walls who is going to take responsibility for this if it happens.", '1. garden area']</t>
  </si>
  <si>
    <t>['garden', 'space', 'open', 'windows', 'opening', 'fence', 'house', 'sight', 'at', 'play']</t>
  </si>
  <si>
    <t>['garden', 'open', 'rear', 'ave', 'our', 'the', 'play', 'peter', 'space', 'wall']</t>
  </si>
  <si>
    <t>39_garden_open_rear_ave</t>
  </si>
  <si>
    <t>there are public sewers crossing or close to your development. if you ' re planning significant work near our sewers, it ' s important that you minimize the risk of damage. we ' ll need to check that your development doesn ' t limit repair or maintenance activities, or inhibit the services we provide in any other way. the applicant is advised to read our guide working near or diverting our pipes. https : / / developers.. co. uk / developing - a - large - site / planning - your - development / working - near - or - diverting - our - pipes.</t>
  </si>
  <si>
    <t>there are public sewers crossing or close to your development. if you ' re planning significant work near our sewers, it ' s important that you minimize the risk of damage. we ' ll need to check that your development doesn ' t limit repair or maintenance activities, or inhibit the services we provide in any other way. the applicant is advised to read our guide working near or diverting our pipes. https : / / developers. thameswater. co. uk / developing - a - large - site / planning - your - development / working - near - or - diverting - our - pipes.</t>
  </si>
  <si>
    <t>["there are public sewers crossing or close to your development. if you ' re planning significant work near our sewers, it ' s important that you minimize the risk of damage. we ' ll need to check that your development doesn ' t limit repair or maintenance activities, or inhibit the services we provide in any other way. the applicant is advised to read our guide working near or diverting our pipes. https : / / developers. thameswater. co. uk / developing - a - large - site / planning - your - development / working - near - or - diverting - our - pipes.", "there are public sewers crossing or close to your development. if you ' re planning significant work near our sewers, it ' s important that you minimize the risk of damage. we ' ll need to check that your development doesn ' t limit repair or maintenance activities, or inhibit the services we provide in any other way. the applicant is advised to read our guide working near or diverting our pipes. https : / / developers.. co. uk / developing - a - large - site / planning - your - development / working - near - or - diverting - our - pipes.", "there are public sewers crossing or close to your development. if you ' re planning significant work near our sewers, it ' s important that you minimize the risk of damage. we ' ll need to check that your development doesn ' t limit repair or maintenance activities, or inhibit the services we provide in any other way. the applicant is advised to read our guide working near or diverting our pipes. https : / / developers.. co. uk / developing - a - large - site / planning - your - development / working - near - or - diverting - our - pipes."]</t>
  </si>
  <si>
    <t>['maintenance', 'repair', 'visual', 'approved', 'look', 'design', 'working', 'damage', 'work', 'conservation']</t>
  </si>
  <si>
    <t>['maintenance', 'near', 'sewers', 'your', 'or', 'diverting', 'radio', 'our', 'pipes', 'development']</t>
  </si>
  <si>
    <t>38_maintenance_near_sewers_your</t>
  </si>
  <si>
    <t>within section 4. 1. 2 of the above report it states : ' as such, a programme of radon monitoring should be undertaken, or the basement construction should include radon protection measures. mitigation could be achieved by design and any submitted assessment must demonstrate the design and / or construction of the basement would be such, that it would mitigate against adverse impact from radon on human health. for example, if the waterproofing of the basement construction was achieved by a grade 3 basement, which is suitable for the habitable areas as described in bs8102 / 2009 : code of practice for the " protection of structures against water from the ground ", drained cavity, gas barriers / membranes, then it is possible that the basement construction could be designed to mitigate the risks from radon and as such, following submission of detailed plans, a programme of monitoring</t>
  </si>
  <si>
    <t>design :</t>
  </si>
  <si>
    <t>as the development shares a party wall with somerset house ( and for that matter the adjoining property 150 strand ) any works in the basement would be of concern. we do however note that under this application there are no plans to create a sub - basement as per the previously consented planning application 16 / 12166 / full. we are fully supportive of this design change. we would though, still like to request that a condition be imposed requiring detailed specifications and plans be submitted to you and somerset house trust ( and other interested parties ) for approval before any ground works and or works near to any existing foundation footings is undertaken should that be applicable.</t>
  </si>
  <si>
    <t>['as the development shares a party wall with somerset house ( and for that matter the adjoining property 150 strand ) any works in the basement would be of concern. we do however note that under this application there are no plans to create a sub - basement as per the previously consented planning application 16 / 12166 / full. we are fully supportive of this design change. we would though, still like to request that a condition be imposed requiring detailed specifications and plans be submitted to you and somerset house trust ( and other interested parties ) for approval before any ground works and or works near to any existing foundation footings is undertaken should that be applicable.', 'design :', 'within section 4. 1. 2 of the above report it states : \' as such, a programme of radon monitoring should be undertaken, or the basement construction should include radon protection measures. mitigation could be achieved by design and any submitted assessment must demonstrate the design and / or construction of the basement would be such, that it would mitigate against adverse impact from radon on human health. for example, if the waterproofing of the basement construction was achieved by a grade 3 basement, which is suitable for the habitable areas as described in bs8102 / 2009 : code of practice for the " protection of structures against water from the ground ", drained cavity, gas barriers / membranes, then it is possible that the basement construction could be designed to mitigate the risks from radon and as such, following submission of detailed plans, a programme of monitoring']</t>
  </si>
  <si>
    <t>['design', 'character', 'appearance', 'look', 'style', 'architectural', 'keeping', 'gogh', 'like', 'seen']</t>
  </si>
  <si>
    <t>['design', 'the', 'of', 'and', 'in', 'to', 'it', 'that', 'look', 'this']</t>
  </si>
  <si>
    <t>37_design_the_of_and</t>
  </si>
  <si>
    <t>please advise the distance from the bin store to the road where collections can take place. please also advise where the waste from the commercial property will be stored as it must be separate to the residential waste</t>
  </si>
  <si>
    <t>4. waste management :</t>
  </si>
  <si>
    <t>4. waste management</t>
  </si>
  <si>
    <t>['4. waste management', '4. waste management :', 'please advise the distance from the bin store to the road where collections can take place. please also advise where the waste from the commercial property will be stored as it must be separate to the residential waste']</t>
  </si>
  <si>
    <t>['waste', 'bin', 'rubbish', 'collection', 'recycling', 'refuse', 'bins', 'collections', 'storage', 'stored']</t>
  </si>
  <si>
    <t>['waste', 'bins', 'rubbish', 'recycling', 'bin', 'refuse', 'will', 'store', 'be', 'for']</t>
  </si>
  <si>
    <t>36_waste_bins_rubbish_recycling</t>
  </si>
  <si>
    <t>confirm the distance from the residential bin stores to where the collection vehicle can safely stop for collection.</t>
  </si>
  <si>
    <t>please confirm the pull distance from the bin store to where the vehicle can safely stop and ensure it is within 10 meters. will there be access to the bin store directly from the pavement on, or will crews need to access the property boundary?</t>
  </si>
  <si>
    <t>please advise where containers will be presented for collection as the bin store seems to be at the back of the property which is not suitable for collections.</t>
  </si>
  <si>
    <t>['please advise where containers will be presented for collection as the bin store seems to be at the back of the property which is not suitable for collections.', 'please confirm the pull distance from the bin store to where the vehicle can safely stop and ensure it is within 10 meters. will there be access to the bin store directly from the pavement on, or will crews need to access the property boundary?', 'confirm the distance from the residential bin stores to where the collection vehicle can safely stop for collection.']</t>
  </si>
  <si>
    <t>['bin', 'collection', 'bins', 'collections', 'collect', 'storage', 'stored', 'containers', 'digging', 'store']</t>
  </si>
  <si>
    <t>['bin', 'collection', 'store', 'bins', 'please', 'where', 'advise', 'will', 'the', 'vehicle']</t>
  </si>
  <si>
    <t>35_bin_collection_store_bins</t>
  </si>
  <si>
    <t>daylight / natural light</t>
  </si>
  <si>
    <t>we note that the proposal includes the creation of large units from the first floor level and above. we have concerns regarding the daylight levels in unit 4 ' s living room / dining room ; however, we acknowledge that the daylight and sunlight assessment states that the unit meets the minimum daylight standards. given the importance of adequate natural light for future occupants, we suggest that this assessment be reviewed to ensure compliance and suitability.</t>
  </si>
  <si>
    <t>contrary to this, the no 1 the firs large single storey existing extension breaches the 45o line, causes significant loss of light and is obtrusive ( as shown in attached photograph no. 1 ). the photograph of the rear of no 1 the firs included in the application has been cropped so as not to show this. a two - storey rear extension would exacerbate this.</t>
  </si>
  <si>
    <t>['contrary to this, the no 1 the firs large single storey existing extension breaches the 45o line, causes significant loss of light and is obtrusive ( as shown in attached photograph no. 1 ). the photograph of the rear of no 1 the firs included in the application has been cropped so as not to show this. a two - storey rear extension would exacerbate this.', "we note that the proposal includes the creation of large units from the first floor level and above. we have concerns regarding the daylight levels in unit 4 ' s living room / dining room ; however, we acknowledge that the daylight and sunlight assessment states that the unit meets the minimum daylight standards. given the importance of adequate natural light for future occupants, we suggest that this assessment be reviewed to ensure compliance and suitability.", 'daylight / natural light']</t>
  </si>
  <si>
    <t>['light', 'daylight', 'sunlight', 'lightwell', 'glare', 'solar', 'heat', 'glint', 'photograph', '45o']</t>
  </si>
  <si>
    <t>['light', 'daylight', 'sunlight', 'the', 'building', 'loss', 'of', 'and', 'we', 'storey']</t>
  </si>
  <si>
    <t>34_light_daylight_sunlight_the</t>
  </si>
  <si>
    <t>the proposed floor plans show a new living room window in the underpass at ground floor level immediately adjacent to the delivery route used by jd wetherspoon plc. the public house ' s deliveries are made on an unrestricted basis and there is therefore concern that this could conflict with the amenities of future residents of this ground floor apartment. it is therefore requested that the applicant submits a noise impact assessment to ensure that the appropriate mitigation measures are incorporated into the design or that this window be omitted to avoid any potential amenity issues. it is noted generally that a noise impact assessment is a local validation requirement whereby proposals for residential development is located close to existing sources of noise2. the public house incorporates a busy beer garden which can be considered to generate noise and so a noise impact assessment should have been submitted alongside the application in any event. the noise impact assessment should be accompanied by appropriate noise mitigation measures which should be conditioned to ensure that any noise from the beer garden does not impact on residential amenity and that the proposed layout is suitable. jd wetherspoon plc would like to review and comment on the noise impact assessment and any mitigation proposed. consideration would need to be given as to whether a " ministry of sound " style noise easement is necessary</t>
  </si>
  <si>
    <t>these representations are submitted on behalf of jd wetherspoon plc in relation to application 23 / 02551 / ful. whilst there is no objection in principle to the conversion of this site to residential use, provided that appropriate noise mitigation measures are conditioned / secured via section 106 such that noise from the nearby beer garden does not impact upon residential amenity, there are concerns relating to the proposed layout. this shows a narrowing of the existing underpass which jd wetherspoon plc have a right of way across and use on a daily basis for service and delivery vehicles. the proposed works within the underpass could prevent this from occurring as evidence has not been provided that the current operations will be able to operate and therefore this will undermine the viability of the public house ( contrary to lambeth local plan policy ed9 ) and could have an adverse impact to the safety of the public highway.</t>
  </si>
  <si>
    <t>the baxendale residents association and the care home are both concerned at the potential transport impacts that would result from the proposed development and wish to make objections to the planning application as it currently stands. this technical note reviews the transport evidence presented in the planning application and comments on the potential impact that would result. this note then identifies how the transport impacts of the proposed development would impact on local residents and the care home.</t>
  </si>
  <si>
    <t>['the baxendale residents association and the care home are both concerned at the potential transport impacts that would result from the proposed development and wish to make objections to the planning application as it currently stands. this technical note reviews the transport evidence presented in the planning application and comments on the potential impact that would result. this note then identifies how the transport impacts of the proposed development would impact on local residents and the care home.', 'these representations are submitted on behalf of jd wetherspoon plc in relation to application 23 / 02551 / ful. whilst there is no objection in principle to the conversion of this site to residential use, provided that appropriate noise mitigation measures are conditioned / secured via section 106 such that noise from the nearby beer garden does not impact upon residential amenity, there are concerns relating to the proposed layout. this shows a narrowing of the existing underpass which jd wetherspoon plc have a right of way across and use on a daily basis for service and delivery vehicles. the proposed works within the underpass could prevent this from occurring as evidence has not been provided that the current operations will be able to operate and therefore this will undermine the viability of the public house ( contrary to lambeth local plan policy ed9 ) and could have an adverse impact to the safety of the public highway.', 'the proposed floor plans show a new living room window in the underpass at ground floor level immediately adjacent to the delivery route used by jd wetherspoon plc. the public house \' s deliveries are made on an unrestricted basis and there is therefore concern that this could conflict with the amenities of future residents of this ground floor apartment. it is therefore requested that the applicant submits a noise impact assessment to ensure that the appropriate mitigation measures are incorporated into the design or that this window be omitted to avoid any potential amenity issues. it is noted generally that a noise impact assessment is a local validation requirement whereby proposals for residential development is located close to existing sources of noise2. the public house incorporates a busy beer garden which can be considered to generate noise and so a noise impact assessment should have been submitted alongside the application in any event. the noise impact assessment should be accompanied by appropriate noise mitigation measures which should be conditioned to ensure that any noise from the beer garden does not impact on residential amenity and that the proposed layout is suitable. jd wetherspoon plc would like to review and comment on the noise impact assessment and any mitigation proposed. consideration would need to be given as to whether a " ministry of sound " style noise easement is necessary']</t>
  </si>
  <si>
    <t>['amenity', 'parking', 'transport', 'car', 'impact', 'garden', 'negative', 'has', 'have', 'potential']</t>
  </si>
  <si>
    <t>['impact', 'amenity', 'on', 'and', 'the', 'of', 'is', 'parking', 'to', 'this']</t>
  </si>
  <si>
    <t>33_impact_amenity_on_and</t>
  </si>
  <si>
    <t>is part of the conservation area and is specifically referenced in the lbb ' s character &amp; appraisement statement : " the open rural character of the grounds and views in and across the site are highly important aspects of the character of the conservation area. " the document also states that the council will " seek to ensure that new development within the conservation area seeks to preserve or enhance the special character and appearance of the area. " as the proposed development will not preserve or enhance the open rural character and views across the site, it should be rejected.</t>
  </si>
  <si>
    <t>and conservation areas advisory panel has been asked to comment although this falls outside our area. if this were in the conservation area, we would object to the inclusion of a roof - light in the front roof elevation. given the location, we believe that this roof - light is still out of keeping with the other properties and we would recommend rejection.</t>
  </si>
  <si>
    <t>we are not impressed, however, by the heritage &amp; design and access statement, which falls well short of the standard of documentation we have seen recently for other listed buildings in. it provides only a cursory assessment of this grade ii building or the history of its site, which appears to be a historic plot extending eastwards from the high street. although the historic england list entry describes the high facade only, it makes clear that the listing extends to the entire extent of the land as it was in 1948.</t>
  </si>
  <si>
    <t>['we are not impressed, however, by the heritage &amp; design and access statement, which falls well short of the standard of documentation we have seen recently for other listed buildings in. it provides only a cursory assessment of this grade ii building or the history of its site, which appears to be a historic plot extending eastwards from the high street. although the historic england list entry describes the high facade only, it makes clear that the listing extends to the entire extent of the land as it was in 1948.', 'and conservation areas advisory panel has been asked to comment although this falls outside our area. if this were in the conservation area, we would object to the inclusion of a roof - light in the front roof elevation. given the location, we believe that this roof - light is still out of keeping with the other properties and we would recommend rejection.', 'is part of the conservation area and is specifically referenced in the lbb \' s character &amp; appraisement statement : " the open rural character of the grounds and views in and across the site are highly important aspects of the character of the conservation area. " the document also states that the council will " seek to ensure that new development within the conservation area seeks to preserve or enhance the special character and appearance of the area. " as the proposed development will not preserve or enhance the open rural character and views across the site, it should be rejected.']</t>
  </si>
  <si>
    <t>['conservation', 'listed', 'heritage', 'historic', 'design', 'appearance', 'character', 'look', 'museum', 'archaeological']</t>
  </si>
  <si>
    <t>['conservation', 'character', 'area', 'design', 'the', 'heritage', 'and', 'of', 'this', 'that']</t>
  </si>
  <si>
    <t>32_conservation_character_area_design</t>
  </si>
  <si>
    <t>noise -</t>
  </si>
  <si>
    <t>noise</t>
  </si>
  <si>
    <t>2. noise</t>
  </si>
  <si>
    <t>['2. noise', 'noise', 'noise -']</t>
  </si>
  <si>
    <t>['noise', 'sound', 'soundproofing', 'acoustic', 'vibration', 'music', 'acoustics', 'nuisance', 'db', 'shielding']</t>
  </si>
  <si>
    <t>['noise', 'levels', 'internal', 'sound', 'report', 'from', 'attenuation', 'vibration', 'sensitive', 'c46ac']</t>
  </si>
  <si>
    <t>31_noise_levels_internal_sound</t>
  </si>
  <si>
    <t>3. 3 at the north end of the estate there has been a builder ' s compound used by the council ' s contractor that has worked across sceaux gardens on warm, dry, safe works, followed by the refurbishment of lakanal, and then the building of cezanne, during the last 9 years. a further round of fire safety works and cyclical maintenance is now due on marie curie and the other blocks on the estate to start early in 2022 with contractors remaining based in a compound on the estate. if the planning application is approved, it needs to include strict conditions on the management of the site, limits to the times for work and frequency of deliveries, to reduce construction traffic, noise and disruption to residents, and the space taken up on the estate by builder ' s compounds. communication between the different sections of the council managing works, contractors on the estate and residents will need to be effective and responsive on a day to day basis. the tra would like the building works to florian, racine and garages to start after the completion of the fire safety and cyclical maintenance works to the other blocks on sceaux g</t>
  </si>
  <si>
    <t>fbwra requests that, in view of the location of the application site on an extremely busy road, if the application is granted then it should be conditioned to require ( or any approved method statement to be complied with should require ) that any utilities or other works that are to be carried out on the highway land are required to be carried out on a 24 - hour, 7 - day working basis ( or as close as possible to this having regard to disturbance to occupiers of immediately adjacent residential property ). the disruption likely to be caused by works affecting the highway is such that the developer be required to minimise the disruption even if this requires a more expensive method of working to be used. this obligation should be secured by a financial bond which would be released to the council if the requirement was not complied with.</t>
  </si>
  <si>
    <t>['- additional noise and disruption during building works.', 'fbwra requests that, in view of the location of the application site on an extremely busy road, if the application is granted then it should be conditioned to require ( or any approved method statement to be complied with should require ) that any utilities or other works that are to be carried out on the highway land are required to be carried out on a 24 - hour, 7 - day working basis ( or as close as possible to this having regard to disturbance to occupiers of immediately adjacent residential property ). the disruption likely to be caused by works affecting the highway is such that the developer be required to minimise the disruption even if this requires a more expensive method of working to be used. this obligation should be secured by a financial bond which would be released to the council if the requirement was not complied with.', "3. 3 at the north end of the estate there has been a builder ' s compound used by the council ' s contractor that has worked across sceaux gardens on warm, dry, safe works, followed by the refurbishment of lakanal, and then the building of cezanne, during the last 9 years. a further round of fire safety works and cyclical maintenance is now due on marie curie and the other blocks on the estate to start early in 2022 with contractors remaining based in a compound on the estate. if the planning application is approved, it needs to include strict conditions on the management of the site, limits to the times for work and frequency of deliveries, to reduce construction traffic, noise and disruption to residents, and the space taken up on the estate by builder ' s compounds. communication between the different sections of the council managing works, contractors on the estate and residents will need to be effective and responsive on a day to day basis. the tra would like the building works to florian, racine and garages to start after the completion of the fire safety and cyclical maintenance works to the other blocks on sceaux g"]</t>
  </si>
  <si>
    <t>['disruption', 'noise', 'dust', 'disturbance', 'air', 'pollution', 'approved', 'mitigation', 'during', 'through']</t>
  </si>
  <si>
    <t>['disruption', 'dust', 'noise', 'and', 'the', 'construction', 'to', 'work', 'of', 'disturbance']</t>
  </si>
  <si>
    <t>30_disruption_dust_noise_and</t>
  </si>
  <si>
    <t>the archaeological advisory service ( glaas ) gives advice on archaeology and planning. our advice follows the national planning policy framework ( nppf ) and the glaas charter.</t>
  </si>
  <si>
    <t>this is a comment on behalf of the and district archaeological society. the submitted planning statement correctly identifies 47 as being in an area of special archaeological interest ( archaeological priority area ) but does not address the consequences of this, which could include the imposition of an archaeological condition. pre - application discussions should have required the applicant to cover this in the statement and explain why a condition would be appropriate or not.</t>
  </si>
  <si>
    <t>['this is a comment on behalf of the and district archaeological society. the submitted planning statement correctly identifies 47 as being in an area of special archaeological interest ( archaeological priority area ) but does not address the consequences of this, which could include the imposition of an archaeological condition. pre - application discussions should have required the applicant to cover this in the statement and explain why a condition would be appropriate or not.', 'the archaeological advisory service ( glaas ) gives advice on archaeology and planning. our advice follows the national planning policy framework ( nppf ) and the glaas charter.', 'the archaeological advisory service ( glaas ) gives advice on archaeology and planning. our advice follows the national planning policy framework ( nppf ) and the glaas charter.']</t>
  </si>
  <si>
    <t>['archaeological', 'archaeology', 'archaeologists', 'archaeologically', 'ancient', 'historians', 'monument', 'abandoned', 'remains', 'palaeoenvironmental']</t>
  </si>
  <si>
    <t>['archaeological', 'archaeology', 'glaas', 'pre', 'geotechnical', 'deposit', 'model', 'advice', 'investigations', 'nppf']</t>
  </si>
  <si>
    <t>29_archaeological_archaeology_glaas_pre</t>
  </si>
  <si>
    <t>this is a comment on behalf of the and district archaeological society. the application involves demolition and rebuilding in an archaeological priority area. as such, historic england should have the opportunity of considering whether there should be an archaeological condition. i am copying this to them.</t>
  </si>
  <si>
    <t>this is a comment on behalf of the and district archaeological society. this site is in an archaeological priority area, close to ; it is of some size and the construction of the present garages is unlikely to have destroyed everything that may have been there before. historic england may therefore wish to consider an archaeological condition on any approval. i am copying this to them.</t>
  </si>
  <si>
    <t>this is a comment on behalf of the and district archaeological society. 45 is, as the submitted archaeological desk - based assessment says, in an archaeological priority area, and we ask for an archaeogical condition to be attached to any approval granted. i am copying this to historic england, who will advise on the form of any condition.</t>
  </si>
  <si>
    <t>['this is a comment on behalf of the and district archaeological society. 45 is, as the submitted archaeological desk - based assessment says, in an archaeological priority area, and we ask for an archaeogical condition to be attached to any approval granted. i am copying this to historic england, who will advise on the form of any condition.', 'this is a comment on behalf of the and district archaeological society. this site is in an archaeological priority area, close to ; it is of some size and the construction of the present garages is unlikely to have destroyed everything that may have been there before. historic england may therefore wish to consider an archaeological condition on any approval. i am copying this to them.', 'this is a comment on behalf of the and district archaeological society. the application involves demolition and rebuilding in an archaeological priority area. as such, historic england should have the opportunity of considering whether there should be an archaeological condition. i am copying this to them.']</t>
  </si>
  <si>
    <t>['historic', 'archaeological', 'museum', 'archives', 'grade', 'history', 'remains', 'included', 'site', 'estate']</t>
  </si>
  <si>
    <t>['archaeological', 'historic', 'england', 'copying', 'an', 'society', 'district', 'history', 'condition', 'behalf']</t>
  </si>
  <si>
    <t>28_archaeological_historic_england_copying</t>
  </si>
  <si>
    <t>it ' s great that biodiverse ( brown ) roofs are proposed for this development from looking at the sustainability report. however, the ecology report only recommends 4 bird boxes and none of these cater for swifts ( a priority species ). please can this development incorporate swift bricks ( at least 6 ) in the new building to help a nationally declining species.</t>
  </si>
  <si>
    <t>i really hope that i don ' t find the other massive applications i have mentioned have omitted this area of reporting as it is our legal responsibility to comply with certain laws relative to the protection of species, we are also extremely close to ssi sites. i have several ex members of staff from the hospital that will testify as to the presence of many forms of wildlife in the area that will be in jeopardy if we don ' t take the greatest of care on these sites, especially on the outlying areas of the sites of development. i was not so long ago that it was discovered that there was large scale damage to the hedgehog population due to poorly manage site housekeeping, one specific being using brush cutters to clear undergrowth around the site, i won ' t go into detail.</t>
  </si>
  <si>
    <t>i am in favour of the recommendations in the ecology assessment paper. such an overgrown and run - down property is a haven for wildlife such as nesting and foraging birds and shelter for foxes. i hope the constructors will take seriously the need for bird - boxes and i would particularly urge a swift brick or two to be included within the construction as we see swifts in the area every year. i would also urge part of the landscaping to be less " tidy " to attract pollinators and other insects - i live opposite the site and have been lucky enough to have half a dozen of the endangered stag beetles on my property in the last few years.</t>
  </si>
  <si>
    <t>['i am in favour of the recommendations in the ecology assessment paper. such an overgrown and run - down property is a haven for wildlife such as nesting and foraging birds and shelter for foxes. i hope the constructors will take seriously the need for bird - boxes and i would particularly urge a swift brick or two to be included within the construction as we see swifts in the area every year. i would also urge part of the landscaping to be less " tidy " to attract pollinators and other insects - i live opposite the site and have been lucky enough to have half a dozen of the endangered stag beetles on my property in the last few years.', "i really hope that i don ' t find the other massive applications i have mentioned have omitted this area of reporting as it is our legal responsibility to comply with certain laws relative to the protection of species, we are also extremely close to ssi sites. i have several ex members of staff from the hospital that will testify as to the presence of many forms of wildlife in the area that will be in jeopardy if we don ' t take the greatest of care on these sites, especially on the outlying areas of the sites of development. i was not so long ago that it was discovered that there was large scale damage to the hedgehog population due to poorly manage site housekeeping, one specific being using brush cutters to clear undergrowth around the site, i won ' t go into detail.", "it ' s great that biodiverse ( brown ) roofs are proposed for this development from looking at the sustainability report. however, the ecology report only recommends 4 bird boxes and none of these cater for swifts ( a priority species ). please can this development incorporate swift bricks ( at least 6 ) in the new building to help a nationally declining species."]</t>
  </si>
  <si>
    <t>['wildlife', 'ecology', 'biodiversity', 'environment', 'species', 'habitat', 'habitats', 'biodiverse', 'diversity', 'bio']</t>
  </si>
  <si>
    <t>['biodiversity', 'species', 'wildlife', 'environment', 'swifts', 'marine', 'to', 'that', 'green', 'swift']</t>
  </si>
  <si>
    <t>27_biodiversity_species_wildlife_environment</t>
  </si>
  <si>
    <t>parking -</t>
  </si>
  <si>
    <t>parking</t>
  </si>
  <si>
    <t>car parking spaces</t>
  </si>
  <si>
    <t>['car parking spaces', 'parking', 'parking -']</t>
  </si>
  <si>
    <t>['parking', 'permit', 'car', 'traffic', 'parked', 'congestion', 'transport', 'cars', 'vehicle', 'vehicles']</t>
  </si>
  <si>
    <t>['parking', 'spaces', 'car', 'the', 'in', 'for', 'of', 'to', 'and', 'be']</t>
  </si>
  <si>
    <t>26_parking_spaces_car_the</t>
  </si>
  <si>
    <t>this development already has 2 off road parking spaces and there is no space for any more. if this development is providing 5 separate dwellings, one of which is 2 bedroom, potentially the residents could own up to 5 or 6 vehicles. on - road parking is already very limited in this street, meaning that at times we cannot park anywhere near our house and sometimes not even within this street.</t>
  </si>
  <si>
    <t>my comments are submitted as an individual plot holder at allotments and should not be taken as representing to views of other plot holders, the friends of ascott allotments or local residents. i do not object to the application as such but i think it gives an opportunity to improve the parking area leading from to the main allotment entrance. the images submitted with the application show this a a smooth sealed surface. in fact it is bare uneven earth, prone to flooding and mud in poor weather. it would be helpful to clarify and confirm with the developer if they do intend to surface the area or whether it is just shown as a smooth surface for presentational purposes in the application. the area is not regulated so can be used by anyone meaning it is usually heavily parked all day, often denying plot holders use of it. the proposed house includes one car parking space but has three bedrooms each with ensuite bathrooms so it could be occupied by separate residents ( i. e. not a single household ) each of which might park in the external area so adding to parking stress. there is no social housing included so i assume the house will be sold at a substantial local market rate. it might therefore bear the cost of some local improvements which in turn may even improve the value</t>
  </si>
  <si>
    <t>i am concerned about the amount of traffic ( and extra traffic ) that will be coming to the new properties. as love is a cul de sac, more and more vehicles will inevitably be doing 3 - point - turns right outside my house. whilst i understand the owners of the new properties will not be eligible for parking permits ( am i right? ), it is unrealistic to blandly state that parking will not be affected - everyone has visitors, deliveries, workmen, etc who will need to park somewhere. it might be that council could make some of the parking bays strictly " residents only " as many of the daytime parked vehicles currently have " special " permits for some reason working at. another way perhaps to alleviate the constant turning of vehicles outside the proposed site ( and my house ) would be for the council to put up a sign at the love / junction stating that there is only residents ' parking available and that it is a " no through road ". this would at least stop the speculative parkers driving along the road and turning round and driving back again.</t>
  </si>
  <si>
    <t>['i am concerned about the amount of traffic ( and extra traffic ) that will be coming to the new properties. as love is a cul de sac, more and more vehicles will inevitably be doing 3 - point - turns right outside my house. whilst i understand the owners of the new properties will not be eligible for parking permits ( am i right? ), it is unrealistic to blandly state that parking will not be affected - everyone has visitors, deliveries, workmen, etc who will need to park somewhere. it might be that council could make some of the parking bays strictly " residents only " as many of the daytime parked vehicles currently have " special " permits for some reason working at. another way perhaps to alleviate the constant turning of vehicles outside the proposed site ( and my house ) would be for the council to put up a sign at the love / junction stating that there is only residents \' parking available and that it is a " no through road ". this would at least stop the speculative parkers driving along the road and turning round and driving back again.', 'my comments are submitted as an individual plot holder at allotments and should not be taken as representing to views of other plot holders, the friends of ascott allotments or local residents. i do not object to the application as such but i think it gives an opportunity to improve the parking area leading from to the main allotment entrance. the images submitted with the application show this a a smooth sealed surface. in fact it is bare uneven earth, prone to flooding and mud in poor weather. it would be helpful to clarify and confirm with the developer if they do intend to surface the area or whether it is just shown as a smooth surface for presentational purposes in the application. the area is not regulated so can be used by anyone meaning it is usually heavily parked all day, often denying plot holders use of it. the proposed house includes one car parking space but has three bedrooms each with ensuite bathrooms so it could be occupied by separate residents ( i. e. not a single household ) each of which might park in the external area so adding to parking stress. there is no social housing included so i assume the house will be sold at a substantial local market rate. it might therefore bear the cost of some local improvements which in turn may even improve the value', 'this development already has 2 off road parking spaces and there is no space for any more. if this development is providing 5 separate dwellings, one of which is 2 bedroom, potentially the residents could own up to 5 or 6 vehicles. on - road parking is already very limited in this street, meaning that at times we cannot park anywhere near our house and sometimes not even within this street.']</t>
  </si>
  <si>
    <t>['parking', 'car', 'transport', 'park', 'cars', 'permits', 'bedroom', 'family', 'vehicles', 'road']</t>
  </si>
  <si>
    <t>['parking', 'park', 'is', 'already', 'spaces', 'car', 'the', 'in', 'this', 'it']</t>
  </si>
  <si>
    <t>25_parking_park_is_already</t>
  </si>
  <si>
    <t>that the temporary car park of 108 spaces must not be removed until the underground car park is completed at the quantum specified in the 2017 consented scheme ;</t>
  </si>
  <si>
    <t>- the temporary car park of 108 spaces must not be removed until the underground car park is completed at the quantum specified in the 2017 consented scheme.</t>
  </si>
  <si>
    <t>['- the temporary car park of 108 spaces must not be removed until the underground car park is completed at the quantum specified in the 2017 consented scheme.', '- the temporary car park of 108 spaces must not be removed until the underground car park is completed at the quantum specified in the 2017 consented scheme.', 'that the temporary car park of 108 spaces must not be removed until the underground car park is completed at the quantum specified in the 2017 consented scheme ;']</t>
  </si>
  <si>
    <t>['park', 'car', 'traffic', 'school', 'cars', 'vehicle', 'vehicles', 'route', 'road', 'children']</t>
  </si>
  <si>
    <t>['park', 'car', 'access', 'underground', 'the', 'scheme', 'temporary', 'is', 'block', 'in']</t>
  </si>
  <si>
    <t>24_park_car_access_underground</t>
  </si>
  <si>
    <t>- that the proposed landscaping changes in front of block a do not reduce the width of the access route through to the park ;</t>
  </si>
  <si>
    <t>* that the proposed landscaping changes in front of block a do not reduce the width of the access route through to the park ;</t>
  </si>
  <si>
    <t>that the proposed landscaping changes in front of block a do not reduce the width of the access route through to the park ;</t>
  </si>
  <si>
    <t>['that the proposed landscaping changes in front of block a do not reduce the width of the access route through to the park ;', '* that the proposed landscaping changes in front of block a do not reduce the width of the access route through to the park ;', '- that the proposed landscaping changes in front of block a do not reduce the width of the access route through to the park ;']</t>
  </si>
  <si>
    <t>['park', 'school', 'boys', 'children', 'walking', 'zone', 'leisure', 'local', 'community', 'residents']</t>
  </si>
  <si>
    <t>['park', 'school', 'route', 'width', 'reduce', 'access', 'landscaping', 'changes', 'through', 'front']</t>
  </si>
  <si>
    <t>23_park_school_route_width</t>
  </si>
  <si>
    <t>daylight, loss of privacy, visual design : there is mention of having flats that will have a high amount of stories. as the tallest structure in the area around is about 8 or 9 stories ( the marriott ), this does not impact upon the sunlight or privacy of because it is adjacent. however, this proposed development looks to include buildings that will be even taller and placed in such a way that it would impede on privacy and sunlight facing apartments. this should be considered as high importance as it would impact upon the private owners in the flats around and. a common sense adjustment would be to move any taller buildings to the eastern edge of the proposed area so it does not impact upon the aforementioned residents.</t>
  </si>
  <si>
    <t>o sound - proofing between flats and externally both during and after construction - full height windows and balconies overlooking surrounding properties will cause significant disturbance and loss of privacy</t>
  </si>
  <si>
    <t>objections raised concerns to the impact the extension would cause in terms of overlooking and light to neighbouring properties. a daylight and sunlight assessment was submitted in support of this application. the assessment has considered all of the closest neighbouring residential properties with windows overlooking the proposed development.</t>
  </si>
  <si>
    <t>['objections raised concerns to the impact the extension would cause in terms of overlooking and light to neighbouring properties. a daylight and sunlight assessment was submitted in support of this application. the assessment has considered all of the closest neighbouring residential properties with windows overlooking the proposed development.', 'o sound - proofing between flats and externally both during and after construction - full height windows and balconies overlooking surrounding properties will cause significant disturbance and loss of privacy', 'daylight, loss of privacy, visual design : there is mention of having flats that will have a high amount of stories. as the tallest structure in the area around is about 8 or 9 stories ( the marriott ), this does not impact upon the sunlight or privacy of because it is adjacent. however, this proposed development looks to include buildings that will be even taller and placed in such a way that it would impede on privacy and sunlight facing apartments. this should be considered as high importance as it would impact upon the private owners in the flats around and. a common sense adjustment would be to move any taller buildings to the eastern edge of the proposed area so it does not impact upon the aforementioned residents.']</t>
  </si>
  <si>
    <t>['privacy', 'overlooking', 'overlook', 'opaque', 'daylight', 'light', 'sunlight', 'overlooked', 'taller', 'of']</t>
  </si>
  <si>
    <t>['privacy', 'overlooking', 'daylight', 'of', 'and', 'loss', 'our', 'light', 'the', 'to']</t>
  </si>
  <si>
    <t>22_privacy_overlooking_daylight_of</t>
  </si>
  <si>
    <t>the proposal to route construction traffic along and to the construction site on is inappropriate. is the sole access for, and. it is a narrow road with parked cars. construction traffic would be too big and too disruptive of local residential access. the construction traffic from the a406 should be routed from via,, and then turn left onto to turn on to access the site on. all these roads are wider and more suitable for heavy traffic than the section of between and.</t>
  </si>
  <si>
    <t>the site is distant from the transport for london road network ( tlrn ) and the strategic route network, and the development relatively small,. therefore no material impact is anticipated. the comments here relate to strategic london plan policy, tfl ' s role as a transport infrastructure provider and tfl ' s traffic management act 2004 responsibilities for keeping moving.</t>
  </si>
  <si>
    <t>thank you for consulting tfl with regard to the above non - referable application. the site is relatively distant from the transport for london road network ( tlrn ) and the strategic route network, and the development relatively small,. therefore no material impact is anticipated. the comments here relate to strategic london plan policy, tfl ' s role as a transport infrastructure provider and tfl ' s traffic management act 2004 responsibilities for keeping london moving.</t>
  </si>
  <si>
    <t>["thank you for consulting tfl with regard to the above non - referable application. the site is relatively distant from the transport for london road network ( tlrn ) and the strategic route network, and the development relatively small,. therefore no material impact is anticipated. the comments here relate to strategic london plan policy, tfl ' s role as a transport infrastructure provider and tfl ' s traffic management act 2004 responsibilities for keeping london moving.", "the site is distant from the transport for london road network ( tlrn ) and the strategic route network, and the development relatively small,. therefore no material impact is anticipated. the comments here relate to strategic london plan policy, tfl ' s role as a transport infrastructure provider and tfl ' s traffic management act 2004 responsibilities for keeping moving.", 'the proposal to route construction traffic along and to the construction site on is inappropriate. is the sole access for, and. it is a narrow road with parked cars. construction traffic would be too big and too disruptive of local residential access. the construction traffic from the a406 should be routed from via,, and then turn left onto to turn on to access the site on. all these roads are wider and more suitable for heavy traffic than the section of between and.']</t>
  </si>
  <si>
    <t>['traffic', 'transport', 'car', 'highway', 'bus', 'accessibility', 'vehicle', 'highways', 'speed', 'road']</t>
  </si>
  <si>
    <t>['traffic', 'transport', 'the', 'is', 'road', 'and', 'construction', 'from', 'to', 'bus']</t>
  </si>
  <si>
    <t>21_traffic_transport_the_is</t>
  </si>
  <si>
    <t>2. the local area needs family - sized homes. the proposed variations to blocks h &amp; j reduce the amount of family housing provided in the consented scheme. while increasing the number of 3 bed units, there is a greater loss of 2 &amp; 4 bed units. the number of 1 bed units is increased, but these do not meet the needs of families. the consented scheme for h &amp; j provides for mews houses / maisonettes, but these are now removed leaving only 3 duplexes. approval should be subject to a condition that the proportion of 2, 3, 4 bed units &amp; mews houses / maisonettes are to be maintained / increased across the whole site in line with the consented scheme.</t>
  </si>
  <si>
    <t>they propose to alter the mix in this part of the scheme reducing the number of larger family units and increasing the number of 1 bed units. i urge you to look at their future plans and ensure they are not allowed to build the refused scheme by stealth in a piece meal fashion. there are more 3 bed units but a greater loss of 2 and 4 bed units with an increase in 1 beds, which does not meet the current housing need. the mews housing has been removed and there are only 4 duplexes, 2bed and 4 bed.</t>
  </si>
  <si>
    <t>['they propose to alter the mix in this part of the scheme reducing the number of larger family units and increasing the number of 1 bed units. i urge you to look at their future plans and ensure they are not allowed to build the refused scheme by stealth in a piece meal fashion. there are more 3 bed units but a greater loss of 2 and 4 bed units with an increase in 1 beds, which does not meet the current housing need. the mews housing has been removed and there are only 4 duplexes, 2bed and 4 bed.', '2. the local area needs family - sized homes. the proposed variations to blocks h &amp; j reduce the amount of family housing provided in the consented scheme. while increasing the number of 3 bed units, there is a greater loss of 2 &amp; 4 bed units. the number of 1 bed units is increased, but these do not meet the needs of families. the consented scheme for h &amp; j provides for mews houses / maisonettes, but these are now removed leaving only 3 duplexes. approval should be subject to a condition that the proportion of 2, 3, 4 bed units &amp; mews houses / maisonettes are to be maintained / increased across the whole site in line with the consented scheme.', '2. the local area needs family - sized homes. the proposed variations to blocks h &amp; j reduce the amount of family housing provided in the consented scheme. while increasing the number of 3 bed units, there is a greater loss of 2 &amp; 4 bed units. the number of 1 bed units is increased, but these do not meet the needs of families. the consented scheme for h &amp; j provides for mews houses / maisonettes, but these are now removed leaving only 3 duplexes. approval should be subject to a condition that the proportion of 2, 3, 4 bed units &amp; mews houses / maisonettes are to be maintained / increased across the whole site in line with the consented scheme.']</t>
  </si>
  <si>
    <t>['family', 'bedroom', 'bedroomed', 'bed', 'mixed', 'dwelling', 'bedrooms', 'room', 'house', 'single']</t>
  </si>
  <si>
    <t>['family', 'bedroom', 'units', 'bed', 'of', 'the', 'housing', 'in', 'and', 'flats']</t>
  </si>
  <si>
    <t>20_family_bedroom_units_bed</t>
  </si>
  <si>
    <t>i see from the list of consultees that it was not thought necessary to consult any of the properties in at the end. i can quite see that they probably would not be impacted by the actual developmen in its final form. however the plans to annex from 27 - 32 for the building site waste skip and frequent deliveries and storage of materials will surely affect them. it may be thought that because is a cul - de - sac that traffic is not an issue. in fact it can be a busy road. apart from its houses and flats there is a large gp practice ( approx 20 members of staff ) at number 12 and day nursery a little further down. children, patients, parents and escorts may come and go by car or on foot at any time of the day. there is a disabled parking bay outside the surgery which is often in use. the nursery children are brought out in a crocodile for daily exercise and babies are wheeled out in double buggies. i think they usually go to the nature garden. funeral cars also leave from the sternhall exit of the co funeral parlour premises on.</t>
  </si>
  <si>
    <t>that the proposed development will be car - free, except for disabled access, should mean that it will not add local to congestion or pollution with the residents of mainly mature age being able to walk to very close transport links and local shops.</t>
  </si>
  <si>
    <t>['that the proposed development will be car - free, except for disabled access, should mean that it will not add local to congestion or pollution with the residents of mainly mature age being able to walk to very close transport links and local shops.', 'that the proposed development will be car - free, except for disabled access, should mean that it will not add local to congestion or pollution with the residents of mainly mature age being able to walk to very close transport links and local shops.', 'i see from the list of consultees that it was not thought necessary to consult any of the properties in at the end. i can quite see that they probably would not be impacted by the actual developmen in its final form. however the plans to annex from 27 - 32 for the building site waste skip and frequent deliveries and storage of materials will surely affect them. it may be thought that because is a cul - de - sac that traffic is not an issue. in fact it can be a busy road. apart from its houses and flats there is a large gp practice ( approx 20 members of staff ) at number 12 and day nursery a little further down. children, patients, parents and escorts may come and go by car or on foot at any time of the day. there is a disabled parking bay outside the surgery which is often in use. the nursery children are brought out in a crocodile for daily exercise and babies are wheeled out in double buggies. i think they usually go to the nature garden. funeral cars also leave from the sternhall exit of the co funeral parlour premises on.']</t>
  </si>
  <si>
    <t>['disabled', 'elderly', 'accessible', 'wheelchair', 'transport', 'car', 'parking', 'cars', 'compliant', 'age']</t>
  </si>
  <si>
    <t>['disabled', 'parking', 'free', 'accessible', 'and', 'for', 'wheelchair', 'laid', 'car', 'bay']</t>
  </si>
  <si>
    <t>19_disabled_parking_free_accessible</t>
  </si>
  <si>
    <t>i am concerned about the demolition and construction management and logistics plan, which has omitted the previously approved scheme to use a temporary crossover from the a1000 high road for heavy contractors vehicles to avoid the possibility of blocking or damaging access to, which is a very narrow private lane giving the only access to and the archer. there are a number of elderly residents with very serious health issues who have needed ambulances a number of times in the past year and we therefore cannot have a situation where the road is blocked at any time.</t>
  </si>
  <si>
    <t>i am very concerned about the demolition &amp; construction management and logistics plan which has omitted the previously approved scheme to use a temporary crossover from the a1 high road for heavy contractors vehicles to avoid the possibility of blocking or damaging access to which is a narrow road giving the only access to and the archer.</t>
  </si>
  <si>
    <t>i am extremely concerned about the demolition and construction management and logistics plan. there was a previously approved scheme to use a temporary crossover to the a1000 high road for heavy contractors vehicles to avoid the possibility of blocking access to... which is a narrow private road giving the only access to and the archer. this access is essential for ambulances and fire engines and cannot under any circumstances be affected by building works otherwise there could be extremely serious consequences. please do take note of my concern. thank you.</t>
  </si>
  <si>
    <t>['i am extremely concerned about the demolition and construction management and logistics plan. there was a previously approved scheme to use a temporary crossover to the a1000 high road for heavy contractors vehicles to avoid the possibility of blocking access to... which is a narrow private road giving the only access to and the archer. this access is essential for ambulances and fire engines and cannot under any circumstances be affected by building works otherwise there could be extremely serious consequences. please do take note of my concern. thank you.', 'i am very concerned about the demolition &amp; construction management and logistics plan which has omitted the previously approved scheme to use a temporary crossover from the a1 high road for heavy contractors vehicles to avoid the possibility of blocking or damaging access to which is a narrow road giving the only access to and the archer.', 'i am concerned about the demolition and construction management and logistics plan, which has omitted the previously approved scheme to use a temporary crossover from the a1000 high road for heavy contractors vehicles to avoid the possibility of blocking or damaging access to, which is a very narrow private lane giving the only access to and the archer. there are a number of elderly residents with very serious health issues who have needed ambulances a number of times in the past year and we therefore cannot have a situation where the road is blocked at any time.']</t>
  </si>
  <si>
    <t>['approved', 'logistics', 'private', 'licence', 'contractors', 'authority', 'wsi', 'affected', 'ambulances', 'giving']</t>
  </si>
  <si>
    <t>['approved', 'shall', 'be', 'the', 'system', 'to', 'access', 'and', 'occupation', 'blocking']</t>
  </si>
  <si>
    <t>18_approved_shall_be_the</t>
  </si>
  <si>
    <t>storm / surface water must not be discharged onto network rail ' s property or into network rail ' s culverts or drains except by agreement with network rail. suitable drainage or other works must be provided and maintained by the developer to prevent surface water flows or run - off onto network rail ' s property. proper provision must be made to accept and continue drainage discharging from network rail ' s property ; full details to be submitted for approval to the network rail asset protection engineer. suitable foul drainage must be provided separate from network rail ' s existing drainage. soakaways, as a means of storm / surface water disposal must not be constructed within 20 metres of network rail ' s boundary or at any point which could adversely affect the stability of network rail ' s property. after the completion and occupation of the development, any new or exacerbated problems attributable to the new development shall be investigated and remedied at the applicants ' expense.</t>
  </si>
  <si>
    <t>as part of the remediation strategy, addressing the above comments regarding radon, we require confirmation ( within the remediation strategy ) that during the development, if unexpected contamination is discovered, full details would be provided including sampling, required remediation and confirmation that the required remediation will be implemented, and this would be included in the validation report ( phase 4 ). conversely if no ( unexpected ) contamination was discovered, this also would need to be documented and submitted within the validation report ( phase 4 ).</t>
  </si>
  <si>
    <t>the existing foul and surface water drains from discharge into foul and surface water drains within the boundary of birchglade. this was an acceptable solution when the properties were built, as tilers was relatively small. however the proposed development at, which is in the order of at least double the floor area and includes for five bathrooms should have its own foul and surface water drains which drain directly into the mains sewers in the road.</t>
  </si>
  <si>
    <t>['the existing foul and surface water drains from discharge into foul and surface water drains within the boundary of birchglade. this was an acceptable solution when the properties were built, as tilers was relatively small. however the proposed development at, which is in the order of at least double the floor area and includes for five bathrooms should have its own foul and surface water drains which drain directly into the mains sewers in the road.', 'as part of the remediation strategy, addressing the above comments regarding radon, we require confirmation ( within the remediation strategy ) that during the development, if unexpected contamination is discovered, full details would be provided including sampling, required remediation and confirmation that the required remediation will be implemented, and this would be included in the validation report ( phase 4 ). conversely if no ( unexpected ) contamination was discovered, this also would need to be documented and submitted within the validation report ( phase 4 ).', "storm / surface water must not be discharged onto network rail ' s property or into network rail ' s culverts or drains except by agreement with network rail. suitable drainage or other works must be provided and maintained by the developer to prevent surface water flows or run - off onto network rail ' s property. proper provision must be made to accept and continue drainage discharging from network rail ' s property ; full details to be submitted for approval to the network rail asset protection engineer. suitable foul drainage must be provided separate from network rail ' s existing drainage. soakaways, as a means of storm / surface water disposal must not be constructed within 20 metres of network rail ' s boundary or at any point which could adversely affect the stability of network rail ' s property. after the completion and occupation of the development, any new or exacerbated problems attributable to the new development shall be investigated and remedied at the applicants ' expense."]</t>
  </si>
  <si>
    <t>['sewage', 'contamination', 'drains', 'drain', 'water', 'contaminated', 'drainage', 'flood', 'flooding', 'remediation']</t>
  </si>
  <si>
    <t>['water', 'drainage', 'surface', 'contamination', 'contaminated', 'c18aa', 'radon', 'drains', 'land', 'the']</t>
  </si>
  <si>
    <t>17_water_drainage_surface_contamination</t>
  </si>
  <si>
    <t>38db ( la90 ) for night 23 : 00 to 07 : 00</t>
  </si>
  <si>
    <t>40db ( la90 ) for night 23 : 00 to 07 : 00</t>
  </si>
  <si>
    <t>38db ( la90 ) for day 07 : 00 to 23 : 00</t>
  </si>
  <si>
    <t>['38db ( la90 ) for day 07 : 00 to 23 : 00', '40db ( la90 ) for night 23 : 00 to 07 : 00', '38db ( la90 ) for night 23 : 00 to 07 : 00']</t>
  </si>
  <si>
    <t>['29db', '33db', '59db', '36db', '28db', '30db', '31db', '48db', '38db', '34db']</t>
  </si>
  <si>
    <t>['00', '07', 'la90', '23', '19', 'night', 'lpa', 'day', 'evening', 'for']</t>
  </si>
  <si>
    <t>16_00_07_la90_23</t>
  </si>
  <si>
    <t>this response is made as railway infrastructure manager under the " town and country planning ( development management procedure ) order 2015 ". it therefore relates only to railway engineering and safety matters. other parts of tfl may have other comments in line with their own statutory responsibilities.</t>
  </si>
  <si>
    <t>this response is made as a railway infrastructure manager under the " town and country planning ( development management procedure ) order 2015 ". it therefore relates only to railway engineering and safety matters. other parts of tfl may have other comments in line with their own statutory responsibilities.</t>
  </si>
  <si>
    <t>['this response is made as railway infrastructure manager under the " town and country planning ( development management procedure ) order 2015 ". it therefore relates only to railway engineering and safety matters. other parts of tfl may have other comments in line with their own statutory responsibilities.', 'this response is made as a railway infrastructure manager under the " town and country planning ( development management procedure ) order 2015 ". it therefore relates only to railway engineering and safety matters. other parts of tfl may have other comments in line with their own statutory responsibilities.', 'this response is made as railway infrastructure manager under the " town and country planning ( development management procedure ) order 2015 ". it therefore relates only to railway engineering and safety matters. other parts of tfl may have other comments in line with their own statutory responsibilities.']</t>
  </si>
  <si>
    <t>['safety', 'dangerous', 'pedestrian', 'security', 'pedestrians', 'entrance', 'vehicles', 'health', 'railway', 'infrastructure']</t>
  </si>
  <si>
    <t>['safety', 'railway', 'other', 'and', 'tfl', 'procedure', 'engineering', 'responsibilities', 'relates', 'manager']</t>
  </si>
  <si>
    <t>15_safety_railway_other_and</t>
  </si>
  <si>
    <t>1. air quality</t>
  </si>
  <si>
    <t>air quality</t>
  </si>
  <si>
    <t>['- air quality', 'air quality', '1. air quality']</t>
  </si>
  <si>
    <t>['pollution', 'emissions', 'air', 'particulate', 'nitrogen', 'concentrations', 'dioxide', 'quality', 'matter', 'development']</t>
  </si>
  <si>
    <t>['air', 'quality', 'predicted', 'objectives', 'neutral', 'impacts', 'assessment', 'positive', 'no2', 'concentrations']</t>
  </si>
  <si>
    <t>14_air_quality_predicted_objectives</t>
  </si>
  <si>
    <t>therefore, we request that the grant of planning permission be subject to conditions to secure the following :</t>
  </si>
  <si>
    <t>['therefore, we request that the grant of planning permission be subject to conditions to secure the following :', 'therefore, we request that the grant of planning permission be subject to conditions to secure the following :', 'therefore, we request that the grant of planning permission be subject to conditions to secure the following :']</t>
  </si>
  <si>
    <t>['secure', 'secured', 'securing', 'security', 'grant', 'agreement', 'theft', 'dampproof', 'access', 'permission']</t>
  </si>
  <si>
    <t>['secure', 'bike', 'plan', 'security', 'conditions', 'our', 'grant', 'secured', 'permission', 'following']</t>
  </si>
  <si>
    <t>13_secure_bike_plan_security</t>
  </si>
  <si>
    <t>- the proportion of 4 bed and social ownership homes is to be maintained or enhanced when amended proposals for the rest of the site are brought forward.</t>
  </si>
  <si>
    <t>- the proportion of 4 bed and social ownership homes are maintained or enhanced when amended proposals for the rest of the site are brought forward ;</t>
  </si>
  <si>
    <t>['- the proportion of 4 bed and social ownership homes are maintained or enhanced when amended proposals for the rest of the site are brought forward ;', '- the proportion of 4 bed and social ownership homes is to be maintained or enhanced when amended proposals for the rest of the site are brought forward.', '- the proportion of 4 bed and social ownership homes is to be maintained or enhanced when amended proposals for the rest of the site are brought forward.']</t>
  </si>
  <si>
    <t>['families', 'housing', 'rent', 'social', 'bed', 'ownership', 'own', 'incomes', 'home', 'affordable']</t>
  </si>
  <si>
    <t>['affordable', 'social', 'homes', 'housing', 'br', 'enhanced', 'proportion', 'brought', 'bed', 'ownership']</t>
  </si>
  <si>
    <t>12_affordable_social_homes_housing</t>
  </si>
  <si>
    <t>the report states that the combination of measures listed within the " be lean " and " be green " measures such as the improvements to the thermal elements of the existing building, high performance glazing, low energy lighting, low and zero carbon technologies, rooftop photovoltaic panels and fan coil units will significantly reduce energy use and on - site emissions. the table below summarises the proposed development emissions and energy use i. e., the regulated co2 savings</t>
  </si>
  <si>
    <t>planning officers must go through all the submitted plans in forensic detail as there are some worrying anomalies. notably the energy report wants to demonstrate how green &amp; sustainable the heating system will be, using air sourced heat pumps located in block g. yet the block g shown in the plans is from the refused 2021 plans and is therefore not part of the combined consented scheme. as these are amendments to the consented scheme there should be no reference to any blocks from other plans that the developer has no permission to build. as blocks h &amp; j are to be developed as a standalone pair of buildings, how are they to be heated? the actual source of heat might be a ground floor plant room, but very conveniently no detailed ground floor plan of block j has been included in the documents available.</t>
  </si>
  <si>
    <t>['planning officers must go through all the submitted plans in forensic detail as there are some worrying anomalies. notably the energy report wants to demonstrate how green &amp; sustainable the heating system will be, using air sourced heat pumps located in block g. yet the block g shown in the plans is from the refused 2021 plans and is therefore not part of the combined consented scheme. as these are amendments to the consented scheme there should be no reference to any blocks from other plans that the developer has no permission to build. as blocks h &amp; j are to be developed as a standalone pair of buildings, how are they to be heated? the actual source of heat might be a ground floor plant room, but very conveniently no detailed ground floor plan of block j has been included in the documents available.', 'planning officers must go through all the submitted plans in forensic detail as there are some worrying anomalies. notably the energy report wants to demonstrate how green &amp; sustainable the heating system will be, using air sourced heat pumps located in block g. yet the block g shown in the plans is from the refused 2021 plans and is therefore not part of the combined consented scheme. as these are amendments to the consented scheme there should be no reference to any blocks from other plans that the developer has no permission to build. as blocks h &amp; j are to be developed as a standalone pair of buildings, how are they to be heated? the actual source of heat might be a ground floor plant room, but very conveniently no detailed ground floor plan of block j has been included in the documents available.', 'the report states that the combination of measures listed within the " be lean " and " be green " measures such as the improvements to the thermal elements of the existing building, high performance glazing, low energy lighting, low and zero carbon technologies, rooftop photovoltaic panels and fan coil units will significantly reduce energy use and on - site emissions. the table below summarises the proposed development emissions and energy use i. e., the regulated co2 savings']</t>
  </si>
  <si>
    <t>['carbon', 'sustainable', 'climate', 'sustainability', 'emissions', 'co2', 'photovoltaic', 'energy', 'gas', 'forensic']</t>
  </si>
  <si>
    <t>['energy', 'sustainable', 'carbon', 'emissions', 'report', 'sustainability', 'co2', 'reduction', 'zero', 'in']</t>
  </si>
  <si>
    <t>11_energy_sustainable_carbon_emissions</t>
  </si>
  <si>
    <t>supplementary acoustic report</t>
  </si>
  <si>
    <t>c51ab supplementary acoustic report ( plant )</t>
  </si>
  <si>
    <t>as specific plant selections have not been made, a supplementary acoustic report is recommended once final plant selections have been made, this report must include :</t>
  </si>
  <si>
    <t>['as specific plant selections have not been made, a supplementary acoustic report is recommended once final plant selections have been made, this report must include :', 'c51ab supplementary acoustic report ( plant )', 'supplementary acoustic report']</t>
  </si>
  <si>
    <t>['acoustic', 'vibration', 'heard', 'attenuators', 'groundwork', 'mitigation', 'technique', 'pilling', 'insulation', 'measures']</t>
  </si>
  <si>
    <t>['acoustic', 'vibration', 'report', 'supplementary', 'c48ab', 'plant', 'selections', 'c51bb', 'recommended', 'enclosure']</t>
  </si>
  <si>
    <t>10_acoustic_vibration_report_supplementary</t>
  </si>
  <si>
    <t>uk. application forms should be completed on line via www. thameswater. co. uk. please refer to the wholsesale ; business customers ; groundwater discharges section.</t>
  </si>
  <si>
    <t>['uk. application forms should be completed on line via www. thameswater. co. uk. please refer to the wholsesale ; business customers ; groundwater discharges section.', 'uk. application forms should be completed on line via www. thameswater. co. uk. please refer to the wholsesale ; business customers ; groundwater discharges section.', 'uk. application forms should be completed on line via www. thameswater. co. uk. please refer to the wholsesale ; business customers ; groundwater discharges section.']</t>
  </si>
  <si>
    <t>['business', 'sale', 'customers', 'work', 'cheap', 'co', 'accommodated', 'hour', 'application', 'hybrid']</t>
  </si>
  <si>
    <t>['business', 'customers', 'discharges', 'groundwater', 'section', 'uk', 'wholsesale', 'forms', 'www', 'refer']</t>
  </si>
  <si>
    <t>9_business_customers_discharges_groundwater</t>
  </si>
  <si>
    <t>plans for the proposed gf show it almost unaltered from the existing gf ( apart from refuse / bike storage ) however it is noted that work is already underway at the site and the gf is being marketed for rent https : / / harrisonsproperty. co. uk / property / 621 - prime - harlesden - location as " a selection of 13 units from 6 square meter kiosk to 29 square meter shop " with plans supplied by the same architect https : / / gnb - user - uploads. s3. amazonaws. com / cnb / images / harrison / notices / 621 / gallery / baf0809f043a9cd34fd7ad8b36e69fd9. png</t>
  </si>
  <si>
    <t>['- high quality rather than high quantity. everybody will benefit including the financial return for the developer if this mantra is followed in this desirable area of london.', '- high quality rather than high quantity. everybody will benefit including the financial return for the developer if this mantra is followed in this desirable area of london.', 'plans for the proposed gf show it almost unaltered from the existing gf ( apart from refuse / bike storage ) however it is noted that work is already underway at the site and the gf is being marketed for rent https : / / harrisonsproperty. co. uk / property / 621 - prime - harlesden - location as " a selection of 13 units from 6 square meter kiosk to 29 square meter shop " with plans supplied by the same architect https : / / gnb - user - uploads. s3. amazonaws. com / cnb / images / harrison / notices / 621 / gallery / baf0809f043a9cd34fd7ad8b36e69fd9. png']</t>
  </si>
  <si>
    <t>['logistics', 'procurement', 'shop', 'factory', 'retail', 'cart', 'quality', 'delivery', 'amazon', 'servicing']</t>
  </si>
  <si>
    <t>['logistics', 'retail', 'shop', 'gf', 'quantity', 'factory', 'mace', 'benefit', '621', 'mantra']</t>
  </si>
  <si>
    <t>8_logistics_retail_shop_gf</t>
  </si>
  <si>
    <t>reference : 22 / 754 / s73</t>
  </si>
  <si>
    <t>reference : 22 / 755 / s73</t>
  </si>
  <si>
    <t>['reference : 22 / 755 / s73', 'reference : 22 / 754 / s73', 'reference : 22 / 754 / s73']</t>
  </si>
  <si>
    <t>['reference', '16651', '20765', '02193', '5217', '40797', 'ref', '04115', '26769', 's73']</t>
  </si>
  <si>
    <t>['reference', '22', '21', 'eevac', 'full', 's73', 'eemaj', 'ful', '754', '5928']</t>
  </si>
  <si>
    <t>7_reference_22_21_eevac</t>
  </si>
  <si>
    <t>the and conservation areas advisory panel has no comment on this application</t>
  </si>
  <si>
    <t>comments on behalf of conservation area advisory panel</t>
  </si>
  <si>
    <t>['comments on behalf of conservation area advisory panel', 'the and conservation areas advisory panel has no comment on this application', '- conservation area.']</t>
  </si>
  <si>
    <t>['conservation', 'heritage', 'listed', 'archaeological', 'grade', 'plaque', 'discussed', 'gallery', 'section', 'interest']</t>
  </si>
  <si>
    <t>['conservation', 'heritage', 'panel', 'listed', 'area', 'the', 'this', 'of', 'application', 'advisory']</t>
  </si>
  <si>
    <t>6_conservation_heritage_panel_listed</t>
  </si>
  <si>
    <t>the applicant property has been assessed as being in an area in which existing ambient noise levels exceed who guideline levels ( laeq, 16hrs of 55db daytime ( 07. 00 - 23. 00hrs ) and laeq, 8hrs 45db night time ( 23. 00 - 07. 00hrs ) ) and conditions c46ac and c48ab apply. consequently, assuming that the plant is not tonal, the design noise level criteria will be 10 db below the background noise reading.</t>
  </si>
  <si>
    <t>the applicant property has been assessed as being in an area in which existing ambient noise levels exceed who guideline levels ( laeq, 16hrs of 55db daytime ( 07. 00 - 23. 00hrs ) and laeq, 8hrs 45db night time ( 23. 00 - 07. 00hrs ) ) and conditions c46ac, and c48ab apply. consequently, assuming that the plant is not tonal, the design noise level criteria will be 10 db below the background noise reading.</t>
  </si>
  <si>
    <t>['the applicant property has been assessed as being in an area in which existing ambient noise levels exceed who guideline levels ( laeq, 16hrs of 55db daytime ( 07. 00 - 23. 00hrs ) and laeq, 8hrs 45db night time ( 23. 00 - 07. 00hrs ) ) and conditions c46ac and c48ab apply. consequently, assuming that the plant is not tonal, the design noise level criteria will be 10 db below the background noise reading.', 'the applicant property has been assessed as being in an area in which existing ambient noise levels exceed who guideline levels ( laeq, 16hrs of 55db daytime ( 07. 00 - 23. 00hrs ) and laeq, 8hrs 45db night time ( 23. 00 - 07. 00hrs ) ) and conditions c46ac, and c48ab apply. consequently, assuming that the plant is not tonal, the design noise level criteria will be 10 db below the background noise reading.', 'the applicant property has been assessed as being in an area in which existing ambient noise levels exceed who guideline levels ( laeq, 16hrs of 55db daytime ( 07. 00 - 23. 00hrs ) and laeq, 8hrs 45db night time ( 23. 00 - 07. 00hrs ) ) and conditions c46ac and c48ab apply. consequently, assuming that the plant is not tonal, the design noise level criteria will be 10 db below the background noise reading.']</t>
  </si>
  <si>
    <t>['design', 'background', 'noise', 'sound', 'acoustic', 'ambient', 'structure', 'being', 'db', '35db']</t>
  </si>
  <si>
    <t>['noise', 'criteria', 'laeq', 'levels', '00hrs', 'design', '07', '00', '23', 'plant']</t>
  </si>
  <si>
    <t>5_noise_criteria_laeq_levels</t>
  </si>
  <si>
    <t>we would expect the developer to demonstrate what measures will be undertaken to minimise groundwater discharges into the public sewer. groundwater discharges typically result from construction site dewatering, deep excavations, basement infiltration, borehole installation, testing and site remediation. any discharge made without a permit is deemed illegal and may result in prosecution under the provisions of the water industry act 1991. should the local planning authority be minded to approve the planning application, thames water would like the following informative attached to the planning permission : " a groundwater risk management permit from thames water will be required for discharging groundwater into a public sewer. any discharge made without a permit is deemed illegal and may result in prosecution under the provisions of the water industry act 1991. we would expect the developer to demonstrate what measures he will undertake to minimise groundwater discharges into the public sewer. permit enquiries should be directed to thames water ' s risk management team by telephoning 020 3577 9483 or by emailing trade. effluent @ thameswater. co. uk. application forms should be completed on line via www. thameswater. co. uk. please refer to the wholsesale ; business customers ; groundwater discharges section.</t>
  </si>
  <si>
    <t>['we would expect the developer to demonstrate what measures will be undertaken to minimise groundwater discharges into the public sewer. groundwater discharges typically result from construction site dewatering, deep excavations, basement infiltration, borehole installation, testing and site remediation. any discharge made without a permit is deemed illegal and may result in prosecution under the provisions of the water industry act 1991. should the local planning authority be minded to approve the planning application, thames water would like the following informative attached to the planning permission : " a groundwater risk management permit from thames water will be required for discharging groundwater into a public sewer. any discharge made without a permit is deemed illegal and may result in prosecution under the provisions of the water industry act 1991. we would expect the developer to demonstrate what measures he will undertake to minimise groundwater discharges into the public sewer. permit enquiries should be directed to thames water \' s risk management team by telephoning 020 3577 9483 or by emailing trade. effluent @ thameswater. co. uk. application forms should be completed on line via www. thameswater. co. uk. please refer to the wholsesale ; business customers ; groundwater discharges section.', 'we would expect the developer to demonstrate what measures will be undertaken to minimise groundwater discharges into the public sewer. groundwater discharges typically result from construction site dewatering, deep excavations, basement infiltration, borehole installation, testing and site remediation. any discharge made without a permit is deemed illegal and may result in prosecution under the provisions of the water industry act 1991. should the local planning authority be minded to approve the planning application, thames water would like the following informative attached to the planning permission : " a groundwater risk management permit from thames water will be required for discharging groundwater into a public sewer. any discharge made without a permit is deemed illegal and may result in prosecution under the provisions of the water industry act 1991. we would expect the developer to demonstrate what measures he will undertake to minimise groundwater discharges into the public sewer. permit enquiries should be directed to thames water \' s risk management team by telephoning 020 3577 9483 or by emailing trade. effluent @ thameswater. co. uk. application forms should be completed on line via www. thameswater. co. uk. please refer to the wholsesale ; business customers ; groundwater discharges section.', 'we would expect the developer to demonstrate what measures will be undertaken to minimise groundwater discharges into the public sewer. groundwater discharges typically result from construction site dewatering, deep excavations, basement infiltration, borehole installation, testing and site remediation. any discharge made without a permit is deemed illegal and may result in prosecution under the provisions of the water industry act 1991. should the local planning authority be minded to approve the planning application, thames water would like the following informative attached to the planning permission : " a groundwater risk management permit from thames water will be required for discharging groundwater into a public sewer. any discharge made without a permit is deemed illegal and may result in prosecution under the provisions of the water industry act 1991. we would expect the developer to demonstrate what measures he will undertake to minimise groundwater discharges into the public sewer. permit enquiries should be directed to thames water \' s risk management team by telephoning 020 3577 9483 or by emailing trade. effluent @ thameswater. co. uk. application forms should be completed on line via www. thameswater. co. uk. please refer to the wholsesale ; business customers ; groundwater discharges section.']</t>
  </si>
  <si>
    <t>['sewer', 'trade', 'business', 'groundwater', 'permit', 'water', 'flooding', 'customers', 'illegal', 'thameswater']</t>
  </si>
  <si>
    <t>['groundwater', 'permit', 'water', 'discharges', 'thames', 'discharge', 'thameswater', 'sewer', 'risk', '1991']</t>
  </si>
  <si>
    <t>4_groundwater_permit_water_discharges</t>
  </si>
  <si>
    <t>the proposed development is located within 15 metres of a strategic sewer. water requests the following condition to be added to any planning permission. " no piling shall take place until a piling method statement ( detailing the depth and type of piling to be undertaken and the methodology by which such piling will be carried out, including measures to prevent and minimise the potential for damage to subsurface sewerage infrastructure, and the programme for the works ) has been submitted to and approved in writing by the local planning authority in consultation with thames water. any piling must be undertaken in accordance with the terms of the approved piling method statement. " reason : the proposed works will be in close proximity to underground sewerage utility infrastructure. piling has the potential to significantly impact / cause failure of local underground sewerage utility infrastructure. please read our guide ' working near our assets ' to ensure your workings will be in line with the necessary processes you need to follow if you ' re considering working above or near our pipes or other structures. https : / / developers.. co. uk / developing - a - large - site / planning - your - development / working - near - or - diverting - our - pipes. should you require further information please contact thames water. email :</t>
  </si>
  <si>
    <t>the proposed development is located within 15 metres of a strategic sewer. thames water requests the following condition to be added to any planning permission. " no piling shall take place until a piling method statement ( detailing the depth and type of piling to be undertaken and the methodology by which such piling will be carried out, including measures to prevent and minimise the potential for damage to subsurface sewerage infrastructure, and the programme for the works ) has been submitted to and approved in writing by the local planning authority in consultation with thames water. any piling must be undertaken in accordance with the terms of the approved piling method statement. " reason : the proposed works will be in close proximity to underground sewerage utility infrastructure. piling has the potential to significantly impact / cause failure of local underground sewerage utility infrastructure. please read our guide ' working near our assets ' to ensure your workings will be in line with the necessary processes you need to follow if you ' re considering working above or near our pipes or other structures. https : / / developers.. co. uk / developing - a - large - site / planning - your - development / working - near - or - diverting - our - pipes. should you require further information please contact thames water. email</t>
  </si>
  <si>
    <t>['the proposed development is located within 15 metres of a strategic sewer. thames water requests the following condition to be added to any planning permission. " no piling shall take place until a piling method statement ( detailing the depth and type of piling to be undertaken and the methodology by which such piling will be carried out, including measures to prevent and minimise the potential for damage to subsurface sewerage infrastructure, and the programme for the works ) has been submitted to and approved in writing by the local planning authority in consultation with thames water. any piling must be undertaken in accordance with the terms of the approved piling method statement. " reason : the proposed works will be in close proximity to underground sewerage utility infrastructure. piling has the potential to significantly impact / cause failure of local underground sewerage utility infrastructure. please read our guide \' working near our assets \' to ensure your workings will be in line with the necessary processes you need to follow if you \' re considering working above or near our pipes or other structures. https : / / developers.. co. uk / developing - a - large - site / planning - your - development / working - near - or - diverting - our - pipes. should you require further information please contact thames water. email', 'the proposed development is located within 15 metres of a strategic sewer. thames water requests the following condition to be added to any planning permission. " no piling shall take place until a piling method statement ( detailing the depth and type of piling to be undertaken and the methodology by which such piling will be carried out, including measures to prevent and minimise the potential for damage to subsurface sewerage infrastructure, and the programme for the works ) has been submitted to and approved in writing by the local planning authority in consultation with thames water. any piling must be undertaken in accordance with the terms of the approved piling method statement. " reason : the proposed works will be in close proximity to underground sewerage utility infrastructure. piling has the potential to significantly impact / cause failure of local underground sewerage utility infrastructure. please read our guide \' working near our assets \' to ensure your workings will be in line with the necessary processes you need to follow if you \' re considering working above or near our pipes or other structures. https : / / developers.. co. uk / developing - a - large - site / planning - your - development / working - near - or - diverting - our - pipes. should you require further information please contact thames water. email', 'the proposed development is located within 15 metres of a strategic sewer. water requests the following condition to be added to any planning permission. " no piling shall take place until a piling method statement ( detailing the depth and type of piling to be undertaken and the methodology by which such piling will be carried out, including measures to prevent and minimise the potential for damage to subsurface sewerage infrastructure, and the programme for the works ) has been submitted to and approved in writing by the local planning authority in consultation with thames water. any piling must be undertaken in accordance with the terms of the approved piling method statement. " reason : the proposed works will be in close proximity to underground sewerage utility infrastructure. piling has the potential to significantly impact / cause failure of local underground sewerage utility infrastructure. please read our guide \' working near our assets \' to ensure your workings will be in line with the necessary processes you need to follow if you \' re considering working above or near our pipes or other structures. https : / / developers.. co. uk / developing - a - large - site / planning - your - development / working - near - or - diverting - our - pipes. should you require further information please contact thames water. email :']</t>
  </si>
  <si>
    <t>['approved', 'sewerage', 'consultation', 'water', 'engagement', 'contact', 'pipes', 'authority', 'utility', 'community']</t>
  </si>
  <si>
    <t>['consultation', 'piling', 'your', 'you', 'thank', 'sewerage', 'working', 'near', 'utility', 'infrastructure']</t>
  </si>
  <si>
    <t>3_consultation_piling_your_you</t>
  </si>
  <si>
    <t>['thank you', 'thank you', 'thank you']</t>
  </si>
  <si>
    <t>['thank', 'thanks', 'thanking', 'regards', '', '', '', '', '', '']</t>
  </si>
  <si>
    <t>['thank', 'thanks', 'telephone', 'you', '07890', '380', '520', 'many', '0207', 'thanking']</t>
  </si>
  <si>
    <t>2_thank_thanks_telephone_you</t>
  </si>
  <si>
    <t>dear sir / madam</t>
  </si>
  <si>
    <t>['dear sir / madam', 'dear sir / madam', 'dear sir / madam']</t>
  </si>
  <si>
    <t>['dear', 'madam', 'sir', 'mr', 'sirs', 'hello', 'ms', '', '', '']</t>
  </si>
  <si>
    <t>['dear', 'sir', 'madam', 'ms', 'mr', 'hello', 'sirs', 'charge', 'there', 'in']</t>
  </si>
  <si>
    <t>1_dear_sir_madam_ms</t>
  </si>
  <si>
    <t>kind regards</t>
  </si>
  <si>
    <t>kind regards,</t>
  </si>
  <si>
    <t>['kind regards,', 'kind regards,', 'kind regards']</t>
  </si>
  <si>
    <t>['regards', 'kind', 'wishes', 'contact', '', '', '', '', '', '']</t>
  </si>
  <si>
    <t>['kind', 'regards', 'best', 'wishes', 'with', 'warm', 'contact', '', '', '']</t>
  </si>
  <si>
    <t>0_kind_regards_best_wishes</t>
  </si>
  <si>
    <t>with regard to surface water drainage, thames water would advise that if the developer follows the sequential approach to the disposal of surface water we would have no objection. management of surface water from new developments should follow policy si 13 sustainable drainage of the london plan 2021. where the developer proposes to discharge to a public sewer, prior approval from thames water developer services will be required. should you require further information please refer to our website. https : / / developers.. co. uk / developing - a - large - site / apply - and - pay - for - services / wastewater - services.</t>
  </si>
  <si>
    <t>['with regard to surface water drainage, thames water would advise that if the developer follows the sequential approach to the disposal of surface water we would have no objection. management of surface water from new developments should follow policy si 13 sustainable drainage of the london plan 2021. where the developer proposes to discharge to a public sewer, prior approval from thames water developer services will be required. should you require further information please refer to our website. https : / / developers.. co. uk / developing - a - large - site / apply - and - pay - for - services / wastewater - services.', 'with regard to surface water drainage, thames water would advise that if the developer follows the sequential approach to the disposal of surface water we would have no objection. management of surface water from new developments should follow policy si 13 sustainable drainage of the london plan 2021. where the developer proposes to discharge to a public sewer, prior approval from thames water developer services will be required. should you require further information please refer to our website. https : / / developers.. co. uk / developing - a - large - site / apply - and - pay - for - services / wastewater - services.', 'with regard to surface water drainage, thames water would advise that if the developer follows the sequential approach to the disposal of surface water we would have no objection. management of surface water from new developments should follow policy si 13 sustainable drainage of the london plan 2021. where the developer proposes to discharge to a public sewer, prior approval from thames water developer services will be required. should you require further information please refer to our website. https : / / developers.. co. uk / developing - a - large - site / apply - and - pay - for - services / wastewater - services.']</t>
  </si>
  <si>
    <t>['sustainable', 'drainage', 'disposal', 'sewage', 'carbon', 'waste', 'water', 'supply', 'infrastructure', 'one']</t>
  </si>
  <si>
    <t>['water', 'to', 'the', 'and', 'of', 'with', 'is', 'this', 'in', 'for']</t>
  </si>
  <si>
    <t>-1_water_to_the_and</t>
  </si>
  <si>
    <t>i am writing to express our full support for the above planning application.</t>
  </si>
  <si>
    <t>i write to give full support to the above planning application.</t>
  </si>
  <si>
    <t>['i write to give full support to the above planning application.', 'i write to give full support to the above planning application.', 'i am writing to express our full support for the above planning application.']</t>
  </si>
  <si>
    <t>['applicant', 'application', 'documents', 'regarding', 'behalf', 'proposals', 'council', 'lpa', 'committee', 'contact']</t>
  </si>
  <si>
    <t>['application', 'planning', 'above', 'support', 'ful', 'am', '21', 'letter', 'please', 'my']</t>
  </si>
  <si>
    <t>94_application_planning_above_support</t>
  </si>
  <si>
    <t>i support this application.</t>
  </si>
  <si>
    <t>['i support this application.', 'i support this application.', 'i support this application.']</t>
  </si>
  <si>
    <t>['application', 'applications', 'supports', 'supporting', 'proposal', 'proposed', 'necessary', 'following', 'scheme', 'needed']</t>
  </si>
  <si>
    <t>['application', 'support', 'reasons', 'fully', 'this', 'strongly', 'above', 'happy', 'am', 'full']</t>
  </si>
  <si>
    <t>93_application_support_reasons_fully</t>
  </si>
  <si>
    <t>i am writing to you on behalf of the tenants and residents ' association ( tra ) who wish to support the forthcoming development being proposed by regal barkwest limited for the redevelopment known as on the existing bp and former hss sites located on 747 - 759 and 765 - 775 old.</t>
  </si>
  <si>
    <t>i am writing to you as a resident of and i wish to support the forthcoming development being proposed by regal barkwest limited for the redevelopment known as on the existing and former hss sites located on 747759 and 765 - 775.</t>
  </si>
  <si>
    <t>thus, as a general principle, applications for conversion of non - residential into residential units will be supported by the forum. conversely, applications which could result in the reduction of residential units in the neighbourhood area will be resisted.</t>
  </si>
  <si>
    <t>['thus, as a general principle, applications for conversion of non - residential into residential units will be supported by the forum. conversely, applications which could result in the reduction of residential units in the neighbourhood area will be resisted.', 'i am writing to you as a resident of and i wish to support the forthcoming development being proposed by regal barkwest limited for the redevelopment known as on the existing and former hss sites located on 747759 and 765 - 775.', "i am writing to you on behalf of the tenants and residents ' association ( tra ) who wish to support the forthcoming development being proposed by regal barkwest limited for the redevelopment known as on the existing bp and former hss sites located on 747 - 759 and 765 - 775 old."]</t>
  </si>
  <si>
    <t>['remodelling', 'applications', 'stipulate', 'extension', 'application', 'offices', 'bungalows', 'proposed', 'residential', 'consortium']</t>
  </si>
  <si>
    <t>['live', 'properties', 'forthcoming', 'hss', 'residential', 'on', '765', 'barkwest', '775', 'used']</t>
  </si>
  <si>
    <t>92_live_properties_forthcoming_hss</t>
  </si>
  <si>
    <t>i love the idea of having a new block of flats in the area as this will attract more young families to move to our neighbourhood. the new block is in good proportion to the surrounding buildings but built with a modern twist and will improve the local offering.</t>
  </si>
  <si>
    <t>i am the owner of 2 &amp; 4, and i believe the proposed development at 145 should go ahead, as it has been done so at, their have been a lot of development in the local area recently, some very imposing buildings however i believe this one will be synthetic to the local road and area. i think its the proposed plans are a much better proposal as to what is currently on the site, hopefully they will be built with the local occupants in mind.</t>
  </si>
  <si>
    <t>the new block of flats is in good proportion to the surrounding buildings but built with a modern twist and will improve the local offering</t>
  </si>
  <si>
    <t>['the new block of flats is in good proportion to the surrounding buildings but built with a modern twist and will improve the local offering', 'i am the owner of 2 &amp; 4, and i believe the proposed development at 145 should go ahead, as it has been done so at, their have been a lot of development in the local area recently, some very imposing buildings however i believe this one will be synthetic to the local road and area. i think its the proposed plans are a much better proposal as to what is currently on the site, hopefully they will be built with the local occupants in mind.', 'i love the idea of having a new block of flats in the area as this will attract more young families to move to our neighbourhood. the new block is in good proportion to the surrounding buildings but built with a modern twist and will improve the local offering.']</t>
  </si>
  <si>
    <t>['enhance', 'improvement', 'building', 'improve', 'buildings', 'neighbourhood', 'houses', 'homes', 'proportion', 'surrounding']</t>
  </si>
  <si>
    <t>['the', 'area', 'this', 'will', 'be', 'to', 'in', 'is', 'and', 'development']</t>
  </si>
  <si>
    <t>91_the_area_this_will</t>
  </si>
  <si>
    <t>so when objectors make allegations they should rely on facts not vexatious behaviour</t>
  </si>
  <si>
    <t>so, when objectors make allegations, they should rely on facts</t>
  </si>
  <si>
    <t>['so, when objectors make allegations, they should rely on facts', 'so when objectors make allegations they should rely on facts not vexatious behaviour', 'so when objectors make allegations they should rely on facts not vexatious behaviour']</t>
  </si>
  <si>
    <t>['allegations', 'contravention', 'facts', 'behaviour', 'objection', 'witnessed', 'reasons', 'response', 'demonstrating', 'arguments']</t>
  </si>
  <si>
    <t>['allegations', 'objection', 'facts', 'rely', 'comments', 'objectors', 'make', 'comment', 'vexatious', 'from']</t>
  </si>
  <si>
    <t>90_allegations_objection_facts_rely</t>
  </si>
  <si>
    <t>i support more housing in the area</t>
  </si>
  <si>
    <t>i support new housing in the area.</t>
  </si>
  <si>
    <t>i support new housing in the area</t>
  </si>
  <si>
    <t>['i support new housing in the area', 'i support new housing in the area.', 'i support more housing in the area']</t>
  </si>
  <si>
    <t>['housing', 'residences', 'families', 'home', 'demand', 'support', 'community', 'redevelopment', 'provides', 'local']</t>
  </si>
  <si>
    <t>['housing', 'crisis', 'need', 'area', 'availability', 'needed', 'families', 'much', 'more', 'help']</t>
  </si>
  <si>
    <t>89_housing_crisis_need_area</t>
  </si>
  <si>
    <t>economic growth and employment : the project aligns with policy cs8 of the barnet core strategy by promoting economic prosperity and job creation during the construction phase.</t>
  </si>
  <si>
    <t>the development also aligns with policy cs8 of the barnet core strategy by promoting economic prosperity and job creation during the construction phase. these are huge economic benefits that serve local communities well.</t>
  </si>
  <si>
    <t>land close to stations and high streets is a precious commodity and when it comes up for development we should be building on it as many homes as we can. while this scheme is far from perfect, it ' s high time that the gasworks site was developed and this seems like the best chance of doing so. ' s young people are being betrayed by those in comfortable circumstances who object to development they don ' t like, based on out - of - date ideas of what the city needs. we desperately need new homes, and this is the ideal place for them - so i am supporting this application.</t>
  </si>
  <si>
    <t>["land close to stations and high streets is a precious commodity and when it comes up for development we should be building on it as many homes as we can. while this scheme is far from perfect, it ' s high time that the gasworks site was developed and this seems like the best chance of doing so. ' s young people are being betrayed by those in comfortable circumstances who object to development they don ' t like, based on out - of - date ideas of what the city needs. we desperately need new homes, and this is the ideal place for them - so i am supporting this application.", 'the development also aligns with policy cs8 of the barnet core strategy by promoting economic prosperity and job creation during the construction phase. these are huge economic benefits that serve local communities well.', 'economic growth and employment : the project aligns with policy cs8 of the barnet core strategy by promoting economic prosperity and job creation during the construction phase.']</t>
  </si>
  <si>
    <t>['incomes', 'prosperity', 'economic', 'economy', 'businesses', 'employment', 'earn', 'investment', 'revenue', 'job']</t>
  </si>
  <si>
    <t>['economy', 'economic', 'investment', 'values', 'cash', 'cs8', 'local', 'rental', 'prosperity', 'promoting']</t>
  </si>
  <si>
    <t>88_economy_economic_investment_values</t>
  </si>
  <si>
    <t>i support this project!!!!</t>
  </si>
  <si>
    <t>i fully support this project.</t>
  </si>
  <si>
    <t>i fully support such a project.</t>
  </si>
  <si>
    <t>['i fully support such a project.', 'i fully support this project.', 'i support this project!!!!']</t>
  </si>
  <si>
    <t>['projects', 'project', 'aims', 'development', 'proposed', 'following', 'proposal', 'strongly', 'fully', 'site']</t>
  </si>
  <si>
    <t>['project', 'support', 'fully', 'development', 'this', 'cant', 'saw', 'aims', 'strongly', 'please']</t>
  </si>
  <si>
    <t>87_project_support_fully_development</t>
  </si>
  <si>
    <t>10. the scheme addresses the appeal inspectors comments well and should be supported.</t>
  </si>
  <si>
    <t>['- this application addresses the appeal inspectors comments ( supported by the applicants barrister ) and therefore should be granted planning permission by the council.', '10. the scheme addresses the appeal inspectors comments well and should be supported.', '- the proposed also addresses the appeal inspectors comments really well.']</t>
  </si>
  <si>
    <t>['appeal', 'opposition', 'barrister', 'comments', 'addressed', 'applicant', 'inspectors', 'commented', 'denied', 'acknowledged']</t>
  </si>
  <si>
    <t>['appeal', 'inspectors', 'comments', 'read', 'addresses', 'confirmed', 'addressed', 'qc', 'barrister', 'hundreds']</t>
  </si>
  <si>
    <t>86_appeal_inspectors_comments_read</t>
  </si>
  <si>
    <t>i hope the planning committee will consider how important it is to provide homes to own for local people on moderate incomes, which will enable us to stay in the borough we call home.</t>
  </si>
  <si>
    <t>['i hope the planning committee will consider how important it is to provide homes to own for local people on moderate incomes, which will enable us to stay in the borough we call home.', 'i hope the planning committee will consider how important it is to provide homes to own for local people on moderate incomes, which will enable us to stay in the borough we call home.', 'i hope the planning committee will consider how important it is to provide homes to own for local people on moderate incomes, which will enable us to stay in the borough we call home.']</t>
  </si>
  <si>
    <t>['homes', 'home', 'housing', 'situation', 'families', 'states', 'local', 'planning', 'provider', 'beds']</t>
  </si>
  <si>
    <t>['incomes', 'moderate', 'people', 'stay', 'call', 'for', 'homes', 'committee', 'how', 'hope']</t>
  </si>
  <si>
    <t>85_incomes_moderate_people_stay</t>
  </si>
  <si>
    <t>subject : re : rear of 1 golden, hanwell, w7 3ee - 210042ful</t>
  </si>
  <si>
    <t>['subject : re : rear of 1 golden, hanwell, w7 3ee - 210042ful', 'subject : re : rear of 1 golden, hanwell, w7 3ee - 210042ful', 'subject : re : rear of 1 golden, hanwell, w7 3ee - 210042ful']</t>
  </si>
  <si>
    <t>['statment', 'subject', 'curbing', '2312', 'infestation', '210042ful', 'reinstates', '9a', 'layouts', 'w2']</t>
  </si>
  <si>
    <t>['210042ful', '3ee', 'w7', 're', 'rear', 'golden', 'hanwell', 'subject', 'w2', '2hl']</t>
  </si>
  <si>
    <t>84_210042ful_3ee_w7_re</t>
  </si>
  <si>
    <t>we support this proposal.</t>
  </si>
  <si>
    <t>therefore we support the proposal.</t>
  </si>
  <si>
    <t>i therefore support this proposal.</t>
  </si>
  <si>
    <t>['i therefore support this proposal.', 'therefore we support the proposal.', 'we support this proposal.']</t>
  </si>
  <si>
    <t>['proposal', 'proposed', 'proposals', 'amendments', 'action', 'scheme', 'plan', 'support', 'proposition', 'request']</t>
  </si>
  <si>
    <t>['support', 'proposal', 'therefore', 'fully', 'request', 'we', 'stick', 'promised', 'full', 'proposition']</t>
  </si>
  <si>
    <t>83_support_proposal_therefore_fully</t>
  </si>
  <si>
    <t>please approve this application</t>
  </si>
  <si>
    <t>we support the application and hope that will approve the proposals.</t>
  </si>
  <si>
    <t>i would urge you to approve their planning application</t>
  </si>
  <si>
    <t>['i would urge you to approve their planning application', 'we support the application and hope that will approve the proposals.', 'please approve this application']</t>
  </si>
  <si>
    <t>['approve', 'approval', 'approving', 'accepted', 'complying', 'proposal', 'application', 'council', 'provisional', 'lapsed']</t>
  </si>
  <si>
    <t>['approve', 'approval', 'you', 'hope', 'please', 'accepted', 'application', 'council', 'approving', 'this']</t>
  </si>
  <si>
    <t>82_approve_approval_you_hope</t>
  </si>
  <si>
    <t>much needed development for youth support in the area</t>
  </si>
  <si>
    <t>great opportunity for a youth centre that is much needed in the community!</t>
  </si>
  <si>
    <t>this youth group - is an inspirational organization for young people. my kids gained so much for being part of it. giving them better facilities will make a huge difference to the youth in the area. their youth movement transforms life for kids</t>
  </si>
  <si>
    <t>['this youth group - is an inspirational organization for young people. my kids gained so much for being part of it. giving them better facilities will make a huge difference to the youth in the area. their youth movement transforms life for kids', 'great opportunity for a youth centre that is much needed in the community!', 'much needed development for youth support in the area']</t>
  </si>
  <si>
    <t>['youth', 'teenagers', 'extracurricular', 'educational', 'education', 'kids', 'educationally', 'activities', 'facility', 'local']</t>
  </si>
  <si>
    <t>['youth', 'movement', 'community', 'centre', 'facilities', 'jewish', 'for', 'fantastic', 'kids', 'opportunity']</t>
  </si>
  <si>
    <t>81_youth_movement_community_centre</t>
  </si>
  <si>
    <t>locals will not lose out on tennis facilities, as there is existing space behind the existing courts to build new courts. the number of courts available to play on is more than adequate for the current membership. in addition, there are plans in the proposed new clubhouse to provide space for community use, such as yoga, dance or gym area. in the past, a local sri lankan group and others have made use of the building for regular classes and events, but our current facilities are no longer fit for such use.</t>
  </si>
  <si>
    <t>certificate of lawful development for existing use as a gym within use class d2 assembly and leisure.</t>
  </si>
  <si>
    <t>17 / ap / 4140 | certificate of lawful development for existing use as a gym within use class d2 assembly and leisure. | unit 8 17 - 19 london se22 8sd had been refused. a copy of the refusal notice is in the script below.</t>
  </si>
  <si>
    <t>['17 / ap / 4140 | certificate of lawful development for existing use as a gym within use class d2 assembly and leisure. | unit 8 17 - 19 london se22 8sd had been refused. a copy of the refusal notice is in the script below.', 'certificate of lawful development for existing use as a gym within use class d2 assembly and leisure.', 'locals will not lose out on tennis facilities, as there is existing space behind the existing courts to build new courts. the number of courts available to play on is more than adequate for the current membership. in addition, there are plans in the proposed new clubhouse to provide space for community use, such as yoga, dance or gym area. in the past, a local sri lankan group and others have made use of the building for regular classes and events, but our current facilities are no longer fit for such use.']</t>
  </si>
  <si>
    <t>['gym', 'gymnasium', 'fitness', 'exercising', 'sport', 'sports', 'sporting', 'activities', 'clubhouse', 'benches']</t>
  </si>
  <si>
    <t>['gym', 'use', 'sporting', 'club', 'tennis', 'sports', 'courts', 'sport', 'facility', 'leisure']</t>
  </si>
  <si>
    <t>80_gym_use_sporting_club</t>
  </si>
  <si>
    <t>regards,</t>
  </si>
  <si>
    <t>['regards,', 'regards,', 'regards,']</t>
  </si>
  <si>
    <t>['regards', 'greetings', 'sincerely', 'continued', 'objection', 'general', 'site', 'notice', 'clarify', 'dms']</t>
  </si>
  <si>
    <t>['regards', 'dms', 'sincerely', 'please', 'cctv', 'greetings', 'cc', 'clarify', 'info', 'continued']</t>
  </si>
  <si>
    <t>79_regards_dms_sincerely_please</t>
  </si>
  <si>
    <t>mapm miam</t>
  </si>
  <si>
    <t>['mapm miam', 'mapm miam', 'mapm miam']</t>
  </si>
  <si>
    <t>['kinkani', 'miam', 'elechi', 'cordeiro', 'julyan', 'mapm', 'mahony', 'en6', 'lai', 'sa']</t>
  </si>
  <si>
    <t>['mapm', 'miam', 'fao', '4da', 'festus', 'elaweremi', 'elechi', 'loewy', 'julyan', 'yadegar']</t>
  </si>
  <si>
    <t>78_mapm_miam_fao_4da</t>
  </si>
  <si>
    <t>dear planning team,</t>
  </si>
  <si>
    <t>dear planning</t>
  </si>
  <si>
    <t>to the case officer at planning team,</t>
  </si>
  <si>
    <t>['to the case officer at planning team,', 'dear planning', 'dear planning team,']</t>
  </si>
  <si>
    <t>['council', 'interim', 'planning', 'handled', 'councillors', 'act', 'guidance', 'operational', 'executive', 'trustees']</t>
  </si>
  <si>
    <t>['team', 'dear', 'planning', 'secretary', 'council', 'headteacher', 'committee', 'ceo', 'company', 'supplementary']</t>
  </si>
  <si>
    <t>77_team_dear_planning_secretary</t>
  </si>
  <si>
    <t>to whom it may concern</t>
  </si>
  <si>
    <t>to whom it may concern,</t>
  </si>
  <si>
    <t>['to whom it may concern,', 'to whom it may concern', 'to whom it may concern']</t>
  </si>
  <si>
    <t>['concern', 'regards', 'whom', 'favour', 'conclusion', 'follows', 'is', 'who', 'may', 'to']</t>
  </si>
  <si>
    <t>['whom', 'concern', 'may', 'it', 'warmest', 'belief', 'thoughts', 'my', 'conclusion', 'follows']</t>
  </si>
  <si>
    <t>76_whom_concern_may_it</t>
  </si>
  <si>
    <t>the extension to the to a multi storey tower significantly disrupted the scale of, and therefore increasing the height of 45 - 46 does not change the character or scale of the street.</t>
  </si>
  <si>
    <t>i strongly support the development. the existing residential units are quite small, and along with the garage buildings they have reached the end of their useful life, and are not suitable for refurbishment or extension. the redevelopment is not a large scale project but still provides a useful increase to the amount of social housing available locally. the design and access statement supports the proposed massing, and the site history section on page 16 and 17 includes historic maps and photos showing that there were 3 storey buildings on the site corner from at least the late 18th century. the local authority has worked with various architects to develop schemes over a period of time with community input so that the general appearance and scale of the proposal is in keeping with the local context and has addressed local concerns. there is no reason to believe that the local area could not easily accommodate this proposal, which will enhance this section of.</t>
  </si>
  <si>
    <t>as with previous schemes on the site, the proposed development would not harmfully affect the view along towards the listed viaduct. the proposed home would be set back within the site as well as having a considerate and appropriate roof and fence height and design. it would not harm the view of the viaduct along. the setting of the listed viaduct would not be harmed by the sensitively designed proposal.</t>
  </si>
  <si>
    <t>['as with previous schemes on the site, the proposed development would not harmfully affect the view along towards the listed viaduct. the proposed home would be set back within the site as well as having a considerate and appropriate roof and fence height and design. it would not harm the view of the viaduct along. the setting of the listed viaduct would not be harmed by the sensitively designed proposal.', 'i strongly support the development. the existing residential units are quite small, and along with the garage buildings they have reached the end of their useful life, and are not suitable for refurbishment or extension. the redevelopment is not a large scale project but still provides a useful increase to the amount of social housing available locally. the design and access statement supports the proposed massing, and the site history section on page 16 and 17 includes historic maps and photos showing that there were 3 storey buildings on the site corner from at least the late 18th century. the local authority has worked with various architects to develop schemes over a period of time with community input so that the general appearance and scale of the proposal is in keeping with the local context and has addressed local concerns. there is no reason to believe that the local area could not easily accommodate this proposal, which will enhance this section of.', 'the extension to the to a multi storey tower significantly disrupted the scale of, and therefore increasing the height of 45 - 46 does not change the character or scale of the street.']</t>
  </si>
  <si>
    <t>['scale', 'height', 'tall', 'overbearing', 'massing', 'design', 'character', 'context', 'mass', 'keeping']</t>
  </si>
  <si>
    <t>['scale', 'height', 'design', 'street', 'massing', 'buildings', 'view', 'viaduct', 'the', 'storey']</t>
  </si>
  <si>
    <t>75_scale_height_design_street</t>
  </si>
  <si>
    <t>i ' d like to support these proposals. this scheme would seem to set a strong precedent for the future of buildings with quality, green - focus and sustainability to inform future social housing planning in. the proposed scheme is of appropriate density, scale and height, and makes sensitive use of the small and challenging hill - top site, the lower massing taking account of its topography and close neighbours. the setback is in keeping with the existing building line and allows for the visual amenity and privacy of front gardens. the depth of build along allows for a secure communal garden, retention of the mature redwood for resident amenity and greater distance from the consented scheme at 1a, also reducing residents ' exposure to pollution and noise from the busy a2216. the row of three - storey townhouses along the frontage is in keeping with the three - storey homes on directly opposite and meets local need for larger family homes in proximity to local schools. the apartment block to the west of the site provides amenity and security for its residents by way of large, south - facing windows and balconies overlooking the central, grassy area with its veteran oak and cedar of lebanon. thanks for keeping the trees! the apartment block is not so overbearing as to blight the residents of neighbouring</t>
  </si>
  <si>
    <t>the depth of build along dog allows for a secure communal garden, retention of the mature redwood for resident amenity and greater distance from the consented scheme at 1a dog, also reducing residents ' exposure to pollution and noise from the busy a2216. the row of three - storey townhouses along the frontage is in keeping with the three - storey homes on directly opposite and meets local need for larger family homes in proximity to local schools. families of children attending across the road will welcome this. the apartment block to the west of the site provides amenity and security for its residents by way of large, south - facing windows and balconies overlooking the central, grassy area with its veteran oak and cedar of. we thank the council for granting these tree protection orders and ask that these along with all the mature trees retained be actively and rigorously protected for the duration of the building works. the apartment block is not so overbearing as to blight the residents of neighbouring and the set - back fourth floor reduces overlooking for neighbours to the north too. we welcome the provision of a substantial landmark oak on the corner of dog and of street trees along the dog frontage. these will enhance local character on the approach to conservation area while mitigating noise and traffic pollution. protection</t>
  </si>
  <si>
    <t>the proposed scheme is of more appropriate density, scale and height, and makes sensitive use of the small and challenging hill - top site, the lower massing taking account of its topography and close neighbours. it exceeds the urban greening factor ( ugf ) required score of 0. 4, which it is doubtful the original scheme would have met. the increase in setback is more in keeping with the existing building line and allows for the visual amenity and privacy of front gardens. the depth of build along dog allows for a secure communal garden, retention of the mature redwood for resident amenity and greater distance from the consented scheme at 1a dog, also reducing residents ' exposure to pollution and noise from the busy a2216. the row of three - storey townhouses along the frontage is in keeping with the three - storey homes on directly opposite and meets local need for larger family homes in proximity to local schools. families of children attending across the road will welcome this.</t>
  </si>
  <si>
    <t>["the proposed scheme is of more appropriate density, scale and height, and makes sensitive use of the small and challenging hill - top site, the lower massing taking account of its topography and close neighbours. it exceeds the urban greening factor ( ugf ) required score of 0. 4, which it is doubtful the original scheme would have met. the increase in setback is more in keeping with the existing building line and allows for the visual amenity and privacy of front gardens. the depth of build along dog allows for a secure communal garden, retention of the mature redwood for resident amenity and greater distance from the consented scheme at 1a dog, also reducing residents ' exposure to pollution and noise from the busy a2216. the row of three - storey townhouses along the frontage is in keeping with the three - storey homes on directly opposite and meets local need for larger family homes in proximity to local schools. families of children attending across the road will welcome this.", "the depth of build along dog allows for a secure communal garden, retention of the mature redwood for resident amenity and greater distance from the consented scheme at 1a dog, also reducing residents ' exposure to pollution and noise from the busy a2216. the row of three - storey townhouses along the frontage is in keeping with the three - storey homes on directly opposite and meets local need for larger family homes in proximity to local schools. families of children attending across the road will welcome this. the apartment block to the west of the site provides amenity and security for its residents by way of large, south - facing windows and balconies overlooking the central, grassy area with its veteran oak and cedar of. we thank the council for granting these tree protection orders and ask that these along with all the mature trees retained be actively and rigorously protected for the duration of the building works. the apartment block is not so overbearing as to blight the residents of neighbouring and the set - back fourth floor reduces overlooking for neighbours to the north too. we welcome the provision of a substantial landmark oak on the corner of dog and of street trees along the dog frontage. these will enhance local character on the approach to conservation area while mitigating noise and traffic pollution. protection", "i ' d like to support these proposals. this scheme would seem to set a strong precedent for the future of buildings with quality, green - focus and sustainability to inform future social housing planning in. the proposed scheme is of appropriate density, scale and height, and makes sensitive use of the small and challenging hill - top site, the lower massing taking account of its topography and close neighbours. the setback is in keeping with the existing building line and allows for the visual amenity and privacy of front gardens. the depth of build along allows for a secure communal garden, retention of the mature redwood for resident amenity and greater distance from the consented scheme at 1a, also reducing residents ' exposure to pollution and noise from the busy a2216. the row of three - storey townhouses along the frontage is in keeping with the three - storey homes on directly opposite and meets local need for larger family homes in proximity to local schools. the apartment block to the west of the site provides amenity and security for its residents by way of large, south - facing windows and balconies overlooking the central, grassy area with its veteran oak and cedar of lebanon. thanks for keeping the trees! the apartment block is not so overbearing as to blight the residents of neighbouring"]</t>
  </si>
  <si>
    <t>['overlooking', 'trees', 'privacy', 'garden', 'overlook', 'amenity', 'tree', 'look', 'design', 'massing']</t>
  </si>
  <si>
    <t>['garden', 'trees', 'overlooking', 'dog', 'the', 'scheme', 'of', 'on', 'design', 'and']</t>
  </si>
  <si>
    <t>74_garden_trees_overlooking_dog</t>
  </si>
  <si>
    <t>i was fortunate enough to get on the property ladder 20 years ago and i ' m concerned that younger people do not have the same opportunity. many younger people in my industry are being forced to move away from as they can no longer afford to live here. it ' s frustrating to see comments from neighbours who have already been able to buy their own home but want to stop others from doing so because they are concerned about impacts to their view or light or house price. people need new homes and each area should take its own fair share, which is why i support the proposed developments at both and, especially as they both retain some commercial space too, which is also important.</t>
  </si>
  <si>
    <t>the residents of the new - built apartments behind will appreciate being set back from the road, and the slight increase in height should not block sunlight from the south in winter to properties across the road. there is a real danger that much of the broadway will lose direct sunlight during winter once all the approved developments are built. the building immediately to the east of is not very attractive, particularly as its rendered and painted frontage has degraded quickly, despite it having being built in more recent years. its extra two - storey extension - which was passed by planning during the covid crisis and without public scrutiny due to how limited the planning notices are in reaching people during lockdowns - will not be an attractive addition. however, as the application for suggests, the rear extension at 147 will help to balance things out visually.</t>
  </si>
  <si>
    <t>['the residents of the new - built apartments behind will appreciate being set back from the road, and the slight increase in height should not block sunlight from the south in winter to properties across the road. there is a real danger that much of the broadway will lose direct sunlight during winter once all the approved developments are built. the building immediately to the east of is not very attractive, particularly as its rendered and painted frontage has degraded quickly, despite it having being built in more recent years. its extra two - storey extension - which was passed by planning during the covid crisis and without public scrutiny due to how limited the planning notices are in reaching people during lockdowns - will not be an attractive addition. however, as the application for suggests, the rear extension at 147 will help to balance things out visually.', "i was fortunate enough to get on the property ladder 20 years ago and i ' m concerned that younger people do not have the same opportunity. many younger people in my industry are being forced to move away from as they can no longer afford to live here. it ' s frustrating to see comments from neighbours who have already been able to buy their own home but want to stop others from doing so because they are concerned about impacts to their view or light or house price. people need new homes and each area should take its own fair share, which is why i support the proposed developments at both and, especially as they both retain some commercial space too, which is also important.", "i was fortunate enough to get on the property ladder 20 years ago and i ' m concerned that younger people do not have the same opportunity. many younger people in my industry are being forced to move away from as they can no longer afford to live here. it ' s frustrating to see comments from neighbours who have already been able to buy their own home but want to stop others from doing so because they are concerned about impacts to their view or light or house price. people need new homes and each area should take its own fair share, which is why i support the proposed developments at both and, especially as they both retain some commercial space too, which is also important."]</t>
  </si>
  <si>
    <t>['light', 'sunlight', 'daylight', 'overshadowing', 'height', 'high', 'current', 'longer', 'supportive', 'winter']</t>
  </si>
  <si>
    <t>['light', 'sunlight', 'daylight', 'height', 'from', 'as', 'squash', 'that', 'younger', 'the']</t>
  </si>
  <si>
    <t>73_light_sunlight_daylight_height</t>
  </si>
  <si>
    <t>the design is in keeping with the local area.</t>
  </si>
  <si>
    <t>it ' s a very ' good ' design.</t>
  </si>
  <si>
    <t>i ' m really impressed with the proposed design of the building which looks amazing, tasteful and very well thought - through. i love how the building looks and the fresh feel it will give to the neighbourhood. the new block of flats is in good proportion to the surrounding buildings but built with a modern twist and will improve the local offering.</t>
  </si>
  <si>
    <t>["i ' m really impressed with the proposed design of the building which looks amazing, tasteful and very well thought - through. i love how the building looks and the fresh feel it will give to the neighbourhood. the new block of flats is in good proportion to the surrounding buildings but built with a modern twist and will improve the local offering.", "it ' s a very ' good ' design.", 'the design is in keeping with the local area.']</t>
  </si>
  <si>
    <t>['design', 'character', 'appearance', 'look', 'style', 'architectural', 'looks', 'blend', 'keeping', 'similar']</t>
  </si>
  <si>
    <t>['design', 'the', 'architectural', 'building', 'and', 'of', 'with', 'will', 'keeping', 'enhance']</t>
  </si>
  <si>
    <t>72_design_the_architectural_building</t>
  </si>
  <si>
    <t>is in a housing crisis and so i fully support new flats like this being built. i think neighbours have to bear in mind that we live in, a borough in one of the busiest cities in the entire world, not a small village in the countryside. we need more flats and the house it is replacing is not historically notable enough to warrant blocking this during a housing crisis. the property is also next door to existing flats, so the prospect of building another block of flats is not a radical innovation and would not represent a change to the character of the street as a result.</t>
  </si>
  <si>
    <t>we need housing to cope with housing crisis and this will not only give the much - needed residential flats but also add character to the area.</t>
  </si>
  <si>
    <t>there are people crying out for somewhere warm and safe to live, but meanwhile a lot locals are complaining that it will change the character of the area ( or some other such nonsensical argument ). good, i say, we could do with some regeneration to the area and a housing project like the one proposed with benefit all of us. it will make the area safer and more desirable, which, ultimately will be reflected in our house values, as well as being morally the right thing to do.</t>
  </si>
  <si>
    <t>['there are people crying out for somewhere warm and safe to live, but meanwhile a lot locals are complaining that it will change the character of the area ( or some other such nonsensical argument ). good, i say, we could do with some regeneration to the area and a housing project like the one proposed with benefit all of us. it will make the area safer and more desirable, which, ultimately will be reflected in our house values, as well as being morally the right thing to do.', 'we need housing to cope with housing crisis and this will not only give the much - needed residential flats but also add character to the area.', 'is in a housing crisis and so i fully support new flats like this being built. i think neighbours have to bear in mind that we live in, a borough in one of the busiest cities in the entire world, not a small village in the countryside. we need more flats and the house it is replacing is not historically notable enough to warrant blocking this during a housing crisis. the property is also next door to existing flats, so the prospect of building another block of flats is not a radical innovation and would not represent a change to the character of the street as a result.']</t>
  </si>
  <si>
    <t>['character', 'incongruous', 'culturally', 'incoherent', 'homage', 'nonsensical', 'pleasing', 'renders', 'mimic', 'compounded']</t>
  </si>
  <si>
    <t>['character', 'flats', 'loosing', 'add', 'approach', 'street', 'crisis', 'with', 'demolish', 'in']</t>
  </si>
  <si>
    <t>71_character_flats_loosing_add</t>
  </si>
  <si>
    <t>- i can see that many people have commented on the land being fenced off since 2008... 2008!!! the reasons for opposing the proposed development and wanting to use the land for other purposes, range from helping the businesses to creating some sort of garden area, although clearly the land has not been used for any purpose since 2008. indeed, i do not know when the land was purchased by the current developers, but i have to wonder why everyone who wants to use the land now did not buy it when they did.</t>
  </si>
  <si>
    <t>['- i can see that many people have commented on the land being fenced off since 2008... 2008!!! the reasons for opposing the proposed development and wanting to use the land for other purposes, range from helping the businesses to creating some sort of garden area, although clearly the land has not been used for any purpose since 2008. indeed, i do not know when the land was purchased by the current developers, but i have to wonder why everyone who wants to use the land now did not buy it when they did.', '- open space including green space, which we believe will be a benefit to the area.', '- i can see that many people have commented on the land being fenced off since 2008... 2008!!! the reasons for opposing the proposed development and wanting to use the land for other purposes, range from helping the businesses to creating some sort of garden area, although clearly the land has not been used for any purpose since 2008. indeed, i do not know when the land was purchased by the current developers, but i have to wonder why everyone who wants to use the land now did not buy it when they did.']</t>
  </si>
  <si>
    <t>['garden', 'space', 'green', 'open', 'spaces', 'live', 'land', 'house', 'recreational', 'shop']</t>
  </si>
  <si>
    <t>['garden', 'green', 'space', 'open', 'land', 'public', 'spaces', 'the', 'estate', 'golden']</t>
  </si>
  <si>
    <t>70_garden_green_space_open</t>
  </si>
  <si>
    <t>trees :</t>
  </si>
  <si>
    <t>the applicant proposes retaining the trees on and near the site. the council ' s tree services have been consulted given the proximity of street trees to the proposal. as a precautionary measure the council ' s tree services have recommended a condition to ensure the replacement of t1 - cherry tree - if it dies or suffers significant dieback up to five years following the commencement of development. this is secured by condition.</t>
  </si>
  <si>
    <t>- damage mature trees. ( in fact no trees are proposed to be removed or damaged ).</t>
  </si>
  <si>
    <t>['- damage mature trees. ( in fact no trees are proposed to be removed or damaged ).', "the applicant proposes retaining the trees on and near the site. the council ' s tree services have been consulted given the proximity of street trees to the proposal. as a precautionary measure the council ' s tree services have recommended a condition to ensure the replacement of t1 - cherry tree - if it dies or suffers significant dieback up to five years following the commencement of development. this is secured by condition.", 'trees :']</t>
  </si>
  <si>
    <t>['trees', 'tree', 'planted', 'grain', 'bee', 'woodlands', 'shelter', 'roots', 'died', 'file']</t>
  </si>
  <si>
    <t>['trees', 'tree', 'condition', 'mature', 'planted', 'removed', 'if', 'g7', 'felled', 'be']</t>
  </si>
  <si>
    <t>69_trees_tree_condition_mature</t>
  </si>
  <si>
    <t>we would like to retain the community nature of the site rather than creating a space for mini - dwellings ( hmo / air bnb ) which create instability, transitional living and possibly anti - social behaviour</t>
  </si>
  <si>
    <t>['we would like to retain the community nature of the site rather than creating a space for mini - dwellings ( hmo / air bnb ) which create instability, transitional living and possibly anti - social behaviour', 'we would like to retain the community nature of the site rather than creating a space for mini - dwellings ( hmo / air bnb ) which create instability, transitional living and possibly anti - social behaviour', 'we would like to retain the community nature of the site rather than creating a space for mini - dwellings ( hmo / air bnb ) which create instability, transitional living and possibly anti - social behaviour']</t>
  </si>
  <si>
    <t>['nature', 'greenery', 'ecology', 'biodiversity', 'trees', 'wildlife', 'species', 'space', 'landscaping', 'green']</t>
  </si>
  <si>
    <t>['nature', 'transitional', 'instability', 'possibly', 'bnb', 'mini', 'air', 'rather', 'anti', 'creating']</t>
  </si>
  <si>
    <t>68_nature_transitional_instability_possibly</t>
  </si>
  <si>
    <t>i ' m writing in support of this vital development. i ' ve lived in for years, my mother was born here and my grandmother owned a flat in. but i could never hope to follow them in owning property whilst house prices remain so high. many will point out that the " affordable " units in this development aren ' t all that affordable, but that is a symptom of the national picture of house prices, nothing is affordable! the only thing that will change that is by increasing the supply of housing and that can start and continue by approving developments like this. isn ' t a village or a town, it ' s a part of a borough which is part of the busiest capital city in, arguable in the world. we need more housing and there is no logical argument against this building beyond " not in my back yard " - ism. it ' s a patch of scrubland and a tiny part of an old building for tens of homes for people to live in. not a hard choice for anyone except wealthy home owners who don ' t want house prices coming down. as for green space, if you ' re lucky enough to own a house in then you ' ll find both and within 10 minutes walk of your front door. build more homes</t>
  </si>
  <si>
    <t>this application is well worthy of support. as well as providing new homes, badly needed in, it offers other community benefits, including public open space, a long - term home for the beekeepers and the guild of artists, and many affordable dwellings which are sorely needed by public service workers, many of whom will be working at adjacent to the development. the estate in its new form would be a far cry from the ' invisible ' green space of the in its current form. to the public, the estate is invisible, and can only be viewed by peering through the dense hedgerows around the estate, offering just a view of tumbled down farm buildings. i see nothing in this application which would have contradicted the expressed wishes of the original owner mrs as i understand them to be ; the trustees are likely to be the best placed to understand these, and in my view have been wrongly maligned by some of those opposing the development.</t>
  </si>
  <si>
    <t>i think this is a fantastic opportunity to redevelop the ball court which has had no attention for many years it also gives the chance for overcrowded families on estate to benefit from a new affordable property without having to move to far it is such a shame that there are only 34 new properties considering how many people council have on the waiting list i note from the plans that there will be a loss of 11 trees but 34 new one being planted means again of 24new trees were are the negatives a truly great idea and hope it is successful</t>
  </si>
  <si>
    <t>['i think this is a fantastic opportunity to redevelop the ball court which has had no attention for many years it also gives the chance for overcrowded families on estate to benefit from a new affordable property without having to move to far it is such a shame that there are only 34 new properties considering how many people council have on the waiting list i note from the plans that there will be a loss of 11 trees but 34 new one being planted means again of 24new trees were are the negatives a truly great idea and hope it is successful', "this application is well worthy of support. as well as providing new homes, badly needed in, it offers other community benefits, including public open space, a long - term home for the beekeepers and the guild of artists, and many affordable dwellings which are sorely needed by public service workers, many of whom will be working at adjacent to the development. the estate in its new form would be a far cry from the ' invisible ' green space of the in its current form. to the public, the estate is invisible, and can only be viewed by peering through the dense hedgerows around the estate, offering just a view of tumbled down farm buildings. i see nothing in this application which would have contradicted the expressed wishes of the original owner mrs as i understand them to be ; the trustees are likely to be the best placed to understand these, and in my view have been wrongly maligned by some of those opposing the development.", 'i \' m writing in support of this vital development. i \' ve lived in for years, my mother was born here and my grandmother owned a flat in. but i could never hope to follow them in owning property whilst house prices remain so high. many will point out that the " affordable " units in this development aren \' t all that affordable, but that is a symptom of the national picture of house prices, nothing is affordable! the only thing that will change that is by increasing the supply of housing and that can start and continue by approving developments like this. isn \' t a village or a town, it \' s a part of a borough which is part of the busiest capital city in, arguable in the world. we need more housing and there is no logical argument against this building beyond " not in my back yard " - ism. it \' s a patch of scrubland and a tiny part of an old building for tens of homes for people to live in. not a hard choice for anyone except wealthy home owners who don \' t want house prices coming down. as for green space, if you \' re lucky enough to own a house in then you \' ll find both and within 10 minutes walk of your front door. build more homes']</t>
  </si>
  <si>
    <t>['trees', 'garden', 'affordable', 'plants', 'rent', 'housing', 'prices', 'space', 'planted', 'green']</t>
  </si>
  <si>
    <t>['affordable', 'space', 'green', 'for', 'garden', 'family', 'housing', 'homes', 'planted', 'trees']</t>
  </si>
  <si>
    <t>67_affordable_space_green_for</t>
  </si>
  <si>
    <t>amenity space :</t>
  </si>
  <si>
    <t>we support the proposed changes sought by this application. as neighbour to the property, we have had first hand experiences of the challenges in properties that have not been purpose built for multiple occupation being used for such purposes ( i. e. kitchens being adjacent to sleeping accommodation ). as such, we welcome the scope of the application to return the property to its original form ( albeit with some additions ). policy h4 of the local plan sets a presumption for a higher number of 2bed plus units being accommodated in the borough which the proposals would help in achieving. the proposed changes will introduce a greater level of residential amenity as expected by policy h5. when the development plan is read as a whole ( rather than h3 in isolation ) there is a clear balance in favour of approving the application. we suggest that a planning condition is included on any forthcoming permission to ensure that, as per the drawing details, materials are selected to match the existing.</t>
  </si>
  <si>
    <t>this back area of the church which is the proposed lower ground development site on this application is currently attracting antisocial behaviour including 4 recent thefts to the back, ( 2 bikes, a buggy and a trailor ), constant littering and also urinating against the existing building. these behaviours are not helped by the fact it currently looks unoccupied, secluded and is without proper fencing / wall and gates to enclose the amenity space from the public walkway. were these flats to be built along with the development proposals for the amenity spaces, they would massively help to reduce the sort of events that the site is currently attracting.</t>
  </si>
  <si>
    <t>['this back area of the church which is the proposed lower ground development site on this application is currently attracting antisocial behaviour including 4 recent thefts to the back, ( 2 bikes, a buggy and a trailor ), constant littering and also urinating against the existing building. these behaviours are not helped by the fact it currently looks unoccupied, secluded and is without proper fencing / wall and gates to enclose the amenity space from the public walkway. were these flats to be built along with the development proposals for the amenity spaces, they would massively help to reduce the sort of events that the site is currently attracting.', 'we support the proposed changes sought by this application. as neighbour to the property, we have had first hand experiences of the challenges in properties that have not been purpose built for multiple occupation being used for such purposes ( i. e. kitchens being adjacent to sleeping accommodation ). as such, we welcome the scope of the application to return the property to its original form ( albeit with some additions ). policy h4 of the local plan sets a presumption for a higher number of 2bed plus units being accommodated in the borough which the proposals would help in achieving. the proposed changes will introduce a greater level of residential amenity as expected by policy h5. when the development plan is read as a whole ( rather than h3 in isolation ) there is a clear balance in favour of approving the application. we suggest that a planning condition is included on any forthcoming permission to ensure that, as per the drawing details, materials are selected to match the existing.', 'amenity space :']</t>
  </si>
  <si>
    <t>['amenity', 'impact', 'be', 'upon', 'application', 'issues', 'advantage', 'attracting', 'plus', 'residential']</t>
  </si>
  <si>
    <t>['amenity', 'space', 'as', 'is', 'of', 'that', 'the', 'hall', 'building', 'plan']</t>
  </si>
  <si>
    <t>66_amenity_space_as_is</t>
  </si>
  <si>
    <t>we believe the proposals will have a positive impact on the local community.</t>
  </si>
  <si>
    <t>support the application this will have impact on community</t>
  </si>
  <si>
    <t>this proposed development will have a positive impact on the neighbourhood</t>
  </si>
  <si>
    <t>['this proposed development will have a positive impact on the neighbourhood', 'support the application this will have impact on community', 'we believe the proposals will have a positive impact on the local community.']</t>
  </si>
  <si>
    <t>['impact', 'benefits', 'positive', 'major', 'have', 'has', 'businesses', 'been', 'lasting', 'beneficial']</t>
  </si>
  <si>
    <t>['impact', 'positive', 'on', 'property', 'have', 'will', 'fellow', 'distances', 'nearest', 'additionally']</t>
  </si>
  <si>
    <t>65_impact_positive_on_property</t>
  </si>
  <si>
    <t>6. all units have been carefully designed to meet exemplary local and national design standards for future residents. all flats are dual aspect and served by high - quality private amenity space, as well as a shared rooftop communal terrace. this will be high quality living.</t>
  </si>
  <si>
    <t>6. all units have been carefully designed to meet exemplary local and national design standards for future residents. all flats are dual aspect and served by high - quality private amenity space, as well as a shared rooftop communal terrace.</t>
  </si>
  <si>
    <t>['6. all units have been carefully designed to meet exemplary local and national design standards for future residents. all flats are dual aspect and served by high - quality private amenity space, as well as a shared rooftop communal terrace.', '- all units have been designed to meet local and national design standards. all flats are dual aspect and have high quality private amenity space and also a shared rooftop communal terrace.', '6. all units have been carefully designed to meet exemplary local and national design standards for future residents. all flats are dual aspect and served by high - quality private amenity space, as well as a shared rooftop communal terrace. this will be high quality living.']</t>
  </si>
  <si>
    <t>['amenity', 'appearance', 'character', 'design', 'context', 'appear', 'visual', 'impact', 'private', 'odour']</t>
  </si>
  <si>
    <t>['amenity', 'impact', 'dual', 'rooftop', 'design', 'terrace', 'shared', 'conservation', 'high', 'private']</t>
  </si>
  <si>
    <t>64_amenity_impact_dual_rooftop</t>
  </si>
  <si>
    <t>we are not concerned about traffic and noise since limited numbers attend classes during the week and on sabbath, cars and live music is not allowed</t>
  </si>
  <si>
    <t>['we are not concerned about traffic and noise since limited numbers attend classes during the week and on sabbath, cars and live music is not allowed', 'we are not concerned about traffic and noise since limited numbers attend classes during the week and on sabbath, cars and live music is not allowed', 'we are not concerned about traffic and noise since limited numbers attend classes during the week and on sabbath, cars and live music is not allowed']</t>
  </si>
  <si>
    <t>['noise', 'disruption', 'traffic', 'disruptions', 'music', 'cars', 'parking', 'vehicles', 'dust', 'inconvenience']</t>
  </si>
  <si>
    <t>['disruption', 'noise', 'traffic', 'during', 'week', 'concerned', 'music', 'attend', 'limited', 'construction']</t>
  </si>
  <si>
    <t>63_disruption_noise_traffic_during</t>
  </si>
  <si>
    <t>the plans put forward in my opinion are a great use of space. design looks superb and the finished project will provide a clean modern look. the environmental friendly aspect of the finished project and that of the waste material from construction being largely recyclable also very appealing. when i viewed the plans i could see that the section of where the proposed planning is for will add value in appearance to that of the current dull, sometimes dark and very quiet corner. the new building will help as a deterrent to a number of other issues facing the area such as loitering and late night drinking which often can affect some locations. overall the postcode area in general is in high demand for parking by day and by night by college student and staff, and builders from and residents of and those residents of the local postcode area. however the situation faced by the local residents of the project area in terms of parking and density is not set to change and when comparing one unit of housing being developed compared to 1000 + units across the road in and the resulting pressure on community in my opinion one new unit in this case adds a lot more value overall. being an urban area in any case, to have overgrowth at the rear of a property and adjacent to an alley when entering and exiting can</t>
  </si>
  <si>
    <t>i ' ve read the varying comments, we live in in a busy city, under flight paths, next to train line with police sirens as a back drop, i have an interest as an owner, having sat with the architect i do understand the scheme, the big issue has always been many of the new tenants of the then new 18 - 22 flats want car parking which was excluded in the planning by, currently some of them are parking unauthorised on the private layby which is part of this proposal and on the road with one car abandoned and a coffee van having been here for 20 years. the dark top end of the road has been used for drug deals, the homeless, dumping and crime, the arrival of the 18 - 22 development has improved the visual deterrent, resulting in a reduction in intensity of crime in part, as an additional section of the road became active, but crime still exists further up to the gates, the authorities are simply too stretched as the ward councillor would testify to, climaxing in the nhs centre being squatted for 6 - 8 months and being damaged beyond repair, the 18 - 22 flats have had a series of break ins as a back drop because they are watched from the shadows, common problem in the wider community. reducing crime by</t>
  </si>
  <si>
    <t>although this is a conservation area, i fully support the proposed development. the designs are well thought through, the design will mean the new properties are sympathetic with the surrounding area and dwellings. unlike many proposed developments we have seen over the years. these are traditionally styles and sized homes, which we rarely see in nowadays. refreshing not see a plan for a tower block. this is the type of planning proposal that should receive serious consideration from the council. in light of the many proposed developments which were frankly wholly inappropriate if not illegal appear to be supported by the council for other proposed developments along. the owner of this land, which has been well maintained for many years, could sell it to the highest bidder if he wanted to. this could result in a diabolical concrete structure being erected. i don ' t feel there will be a serious issue with parking. as many londoners now cycle. with no parking space provided it will attract those buyers who perhaps do not feel the need to drive in. the developer is also a local resident of many years and is a huge conservationist. he cares passionately about preserving the past, respecting the environment. i think this development would be in very safe hands.</t>
  </si>
  <si>
    <t>["although this is a conservation area, i fully support the proposed development. the designs are well thought through, the design will mean the new properties are sympathetic with the surrounding area and dwellings. unlike many proposed developments we have seen over the years. these are traditionally styles and sized homes, which we rarely see in nowadays. refreshing not see a plan for a tower block. this is the type of planning proposal that should receive serious consideration from the council. in light of the many proposed developments which were frankly wholly inappropriate if not illegal appear to be supported by the council for other proposed developments along. the owner of this land, which has been well maintained for many years, could sell it to the highest bidder if he wanted to. this could result in a diabolical concrete structure being erected. i don ' t feel there will be a serious issue with parking. as many londoners now cycle. with no parking space provided it will attract those buyers who perhaps do not feel the need to drive in. the developer is also a local resident of many years and is a huge conservationist. he cares passionately about preserving the past, respecting the environment. i think this development would be in very safe hands.", "i ' ve read the varying comments, we live in in a busy city, under flight paths, next to train line with police sirens as a back drop, i have an interest as an owner, having sat with the architect i do understand the scheme, the big issue has always been many of the new tenants of the then new 18 - 22 flats want car parking which was excluded in the planning by, currently some of them are parking unauthorised on the private layby which is part of this proposal and on the road with one car abandoned and a coffee van having been here for 20 years. the dark top end of the road has been used for drug deals, the homeless, dumping and crime, the arrival of the 18 - 22 development has improved the visual deterrent, resulting in a reduction in intensity of crime in part, as an additional section of the road became active, but crime still exists further up to the gates, the authorities are simply too stretched as the ward councillor would testify to, climaxing in the nhs centre being squatted for 6 - 8 months and being damaged beyond repair, the 18 - 22 flats have had a series of break ins as a back drop because they are watched from the shadows, common problem in the wider community. reducing crime by", 'the plans put forward in my opinion are a great use of space. design looks superb and the finished project will provide a clean modern look. the environmental friendly aspect of the finished project and that of the waste material from construction being largely recyclable also very appealing. when i viewed the plans i could see that the section of where the proposed planning is for will add value in appearance to that of the current dull, sometimes dark and very quiet corner. the new building will help as a deterrent to a number of other issues facing the area such as loitering and late night drinking which often can affect some locations. overall the postcode area in general is in high demand for parking by day and by night by college student and staff, and builders from and residents of and those residents of the local postcode area. however the situation faced by the local residents of the project area in terms of parking and density is not set to change and when comparing one unit of housing being developed compared to 1000 + units across the road in and the resulting pressure on community in my opinion one new unit in this case adds a lot more value overall. being an urban area in any case, to have overgrowth at the rear of a property and adjacent to an alley when entering and exiting can']</t>
  </si>
  <si>
    <t>['parking', 'design', 'character', 'look', 'looks', 'accessibility', 'car', 'traffic', 'bus', 'crime']</t>
  </si>
  <si>
    <t>['parking', 'design', 'in', 'with', 'an', 'and', 'the', 'road', 'look', 'of']</t>
  </si>
  <si>
    <t>62_parking_design_in_with</t>
  </si>
  <si>
    <t>i don ' t know how people can look at this application and not see how great it will be for the area. this is a run down industrial estate with old dilapidated buildings that are no longer fit for purpose. it ' s currently a beacon for crime and i feel unsafe walking there at night, this is a big problem when its one of the main ways to get to the station. the estate does nothing for the character and community of. i am in full support of this application and breathing life into a dead zone in our borough. there are not many places left in where we can build so many homes at once. i love that they are going to bring businesses back to the area and offer more than just housing but employment as well. i attended the show at and they are planning to improve the roads which are so desperately needed here. it is a pity that so many of my neighbours are just against development in general for no valid reason when it will only improve the area. easy for them to do this sitting in their million pound houses while other people are homeless and overcrowded. i can see that the building is slightly on the taller end but still a lot lower than some others that are being built round here.</t>
  </si>
  <si>
    <t>i look forward to seeing it.</t>
  </si>
  <si>
    <t>would be a great asset to the road and look forward to see it built</t>
  </si>
  <si>
    <t>['would be a great asset to the road and look forward to see it built', 'i look forward to seeing it.', "i don ' t know how people can look at this application and not see how great it will be for the area. this is a run down industrial estate with old dilapidated buildings that are no longer fit for purpose. it ' s currently a beacon for crime and i feel unsafe walking there at night, this is a big problem when its one of the main ways to get to the station. the estate does nothing for the character and community of. i am in full support of this application and breathing life into a dead zone in our borough. there are not many places left in where we can build so many homes at once. i love that they are going to bring businesses back to the area and offer more than just housing but employment as well. i attended the show at and they are planning to improve the roads which are so desperately needed here. it is a pity that so many of my neighbours are just against development in general for no valid reason when it will only improve the area. easy for them to do this sitting in their million pound houses while other people are homeless and overcrowded. i can see that the building is slightly on the taller end but still a lot lower than some others that are being built round here."]</t>
  </si>
  <si>
    <t>['look', 'design', 'blend', 'like', 'seeing', 'being', 'enhance', 'with', 'feel', 'see']</t>
  </si>
  <si>
    <t>['look', 'forward', 'it', 'will', 'to', 'improve', 'and', 'this', 'the', 'seeing']</t>
  </si>
  <si>
    <t>61_look_forward_it_will</t>
  </si>
  <si>
    <t>many members of the community live in very close proximity to the beis hamedrash and will walk meaning minimal traffic concerns</t>
  </si>
  <si>
    <t>please note many members of the community live in very close proximity to the beis hamedrash and will walk meaning minimal traffic concerns</t>
  </si>
  <si>
    <t>['please note many members of the community live in very close proximity to the beis hamedrash and will walk meaning minimal traffic concerns', 'many members of the community live in very close proximity to the beis hamedrash and will walk meaning minimal traffic concerns', 'many members of the community live in very close proximity to the beis hamedrash and will walk meaning minimal traffic concerns']</t>
  </si>
  <si>
    <t>['traffic', 'congestion', '5g', 'roads', 'walking', 'walk', 'distance', 'hotel', 'taking', 'restaurant']</t>
  </si>
  <si>
    <t>['traffic', 'hamedrash', 'minimal', 'beis', 'meaning', 'close', 'members', 'live', 'congestion', 'proximity']</t>
  </si>
  <si>
    <t>60_traffic_hamedrash_minimal_beis</t>
  </si>
  <si>
    <t>there are inaccuracies in the transport statement in relation to public transport though public transport provision is good. i disagree with the statement at 3. 4. 1 about no changes been needed to local capacity provision. there is already congestion at peak hours on buses and trains. the new timetable has further reduced the number of trains through and tfl has recently reduced the frequency of buses. the council may not be able to influence reinstatement of trains but should have more influence over buses, particularly given the lack of tubes.</t>
  </si>
  <si>
    <t>['there are inaccuracies in the transport statement in relation to public transport though public transport provision is good. i disagree with the statement at 3. 4. 1 about no changes been needed to local capacity provision. there is already congestion at peak hours on buses and trains. the new timetable has further reduced the number of trains through and tfl has recently reduced the frequency of buses. the council may not be able to influence reinstatement of trains but should have more influence over buses, particularly given the lack of tubes.', '- i also see repeated comments about the fact that the occupants of the new development will not use the alley way and instead will use the service road and southern access route given its proximity to public transport. i think those making the comments are failing to understand that the occupants of the proposed development will not have access to the service road due to the operation of the security gate. the only people who will have access to the service road from the side alley will be existing residents.', '- i also see repeated comments about the fact that the occupants of the new development will not use the alley way and instead will use the service road and southern access route given its proximity to public transport. i think those making the comments are failing to understand that the occupants of the proposed development will not have access to the service road due to the operation of the security gate. the only people who will have access to the service road from the side alley will be existing residents.']</t>
  </si>
  <si>
    <t>['traffic', 'transport', 'congestion', 'car', 'buses', 'cars', 'route', 'commuting', 'trains', 'road']</t>
  </si>
  <si>
    <t>['transport', 'public', 'links', 'service', 'buses', 'access', 'residents', 'alley', 'trains', 'demand']</t>
  </si>
  <si>
    <t>59_transport_public_links_service</t>
  </si>
  <si>
    <t>there are no alternative premises for the community on account of their requirement to be within walking distance to this community site because of the sabbath.</t>
  </si>
  <si>
    <t>there are no alternative premises for the community on account of their requirement to be within walking distance of their community site because of the sabbath</t>
  </si>
  <si>
    <t>['there are no alternative premises for the community on account of their requirement to be within walking distance of their community site because of the sabbath', 'there are no alternative premises for the community on account of their requirement to be within walking distance of their community site because of the sabbath', 'there are no alternative premises for the community on account of their requirement to be within walking distance to this community site because of the sabbath.']</t>
  </si>
  <si>
    <t>['walking', 'stimulation', 'aerodromes', 'bikes', 'facility', 'distance', 'examined', 'areas', 'premises', 'aviation']</t>
  </si>
  <si>
    <t>['distance', 'walking', 'sabbath', 'requirement', 'alternative', 'premises', 'account', 'bicycle', 'their', 'storage']</t>
  </si>
  <si>
    <t>58_distance_walking_sabbath_requirement</t>
  </si>
  <si>
    <t>i welcome the changes to the application - specifically the reduction in off - street car parking ( which is not needed ). many of the flats are car free, which should be welcome - not everyone in wants or needs a car and use of alternative more sustainable transport should be encouraged.</t>
  </si>
  <si>
    <t>the scheme aims to promote healthy communities, lifestyles, and sustainable transport by way of promotion of a " car free " development - with this an urban greening factor of + 0. 4 and a net gain in biodiversity including new planting and landscaping is achieved across the site and the scheme will reduce carbon emissions by 69 % beyond building regulations.</t>
  </si>
  <si>
    <t>['the scheme aims to promote healthy communities, lifestyles, and sustainable transport by way of promotion of a " car free " development - with this an urban greening factor of + 0. 4 and a net gain in biodiversity including new planting and landscaping is achieved across the site and the scheme will reduce carbon emissions by 69 % beyond building regulations.', '- the development is car free and has lots of bike parking which is great for the environment and local area and nearby shops transport wise.', 'i welcome the changes to the application - specifically the reduction in off - street car parking ( which is not needed ). many of the flats are car free, which should be welcome - not everyone in wants or needs a car and use of alternative more sustainable transport should be encouraged.']</t>
  </si>
  <si>
    <t>['transport', 'car', 'traffic', 'parking', 'sustainable', 'congestion', 'transportation', 'climate', 'carbon', 'cars']</t>
  </si>
  <si>
    <t>['car', 'free', 'environment', 'transport', 'parking', 'sustainable', 'traffic', 'which', 'reduce', 'is']</t>
  </si>
  <si>
    <t>57_car_free_environment_transport</t>
  </si>
  <si>
    <t>we currently live in this block. the flat at the rear is vacant and in bad condition. this development will bring it back to good use and provide housing with a huge lovely garden for a family. it ' s currently a small unusable studio flat and will become a big 2 bed flat. there are no issues with parking on the street and we are so close to i don ' t feel like parking stress will be a problem at all. the extension looks like it will be really nice, the design looks good and you won ' t be able to see it from the front of the property - it also looks like it fits in with the area ( conservation area ). we are also aware of other basement developments in the conservation area.</t>
  </si>
  <si>
    <t>the flats of 119 are all either tenanted by single occupants or single parents. the property owner is keen to limit the level of additional footfall / traffic on the street. there are only 2 parking spaces required, as working professionals who often tenant such flats in do not own cars. 121 will have 4 or 5 off - street parking spaces for residents. considering many occupants of one bedroom flats in the area don ' t own cars, i imagine 4 spaces will be more than enough to cater for the tenants. an appeal for tenants living in this gateway area near, is to be able to find affordable housing in order to meet their needs in commuting to work.</t>
  </si>
  <si>
    <t>a few years ago i use to rent 47 walk and even thou it was a 3 bedroom house i had a few friends sharing with me using the two reception rooms downstairs as bedroom in order to pay the rent. i truly believe this split makes perfect sense as number of people would be far less and much better organised. the garden is very large accommodating all 3 flats. there is no parking or congestion issues in that road as it ' s unusually wide. number 33 and 91 are being used as hmos and that doesn ' t seem to cause an issue. this application should be permitted so people can rent legally and have protection and hold landlords responsible. it is very much needed.</t>
  </si>
  <si>
    <t>["a few years ago i use to rent 47 walk and even thou it was a 3 bedroom house i had a few friends sharing with me using the two reception rooms downstairs as bedroom in order to pay the rent. i truly believe this split makes perfect sense as number of people would be far less and much better organised. the garden is very large accommodating all 3 flats. there is no parking or congestion issues in that road as it ' s unusually wide. number 33 and 91 are being used as hmos and that doesn ' t seem to cause an issue. this application should be permitted so people can rent legally and have protection and hold landlords responsible. it is very much needed.", "the flats of 119 are all either tenanted by single occupants or single parents. the property owner is keen to limit the level of additional footfall / traffic on the street. there are only 2 parking spaces required, as working professionals who often tenant such flats in do not own cars. 121 will have 4 or 5 off - street parking spaces for residents. considering many occupants of one bedroom flats in the area don ' t own cars, i imagine 4 spaces will be more than enough to cater for the tenants. an appeal for tenants living in this gateway area near, is to be able to find affordable housing in order to meet their needs in commuting to work.", "we currently live in this block. the flat at the rear is vacant and in bad condition. this development will bring it back to good use and provide housing with a huge lovely garden for a family. it ' s currently a small unusable studio flat and will become a big 2 bed flat. there are no issues with parking on the street and we are so close to i don ' t feel like parking stress will be a problem at all. the extension looks like it will be really nice, the design looks good and you won ' t be able to see it from the front of the property - it also looks like it fits in with the area ( conservation area ). we are also aware of other basement developments in the conservation area."]</t>
  </si>
  <si>
    <t>['family', 'bedroom', 'parking', 'car', 'traffic', 'husband', 'cars', 'rent', 'housing', 'single']</t>
  </si>
  <si>
    <t>['family', 'parking', 'car', 'bedroom', 'road', 'one', 'with', 'less', 'as', 'or']</t>
  </si>
  <si>
    <t>56_family_parking_car_bedroom</t>
  </si>
  <si>
    <t>me and my family support and welcome the development.</t>
  </si>
  <si>
    <t>regarding this matter i previously did raise no objection, living directly opposite the proposed building site location i have strong views as to why there is no need to object this plan. i constantly see the site being mis - used for anti social behaviours to list a few ; fly tipping, youth jumping over and ' spending ' time in there, mechanic using it to throw old parts / oil galons and leaving mess outside, other potential illegal activities i ' d rather not elaborate on. however the plan will change the existing location from a mis - used derelict site to a property which will house a family in need which will add to the community, i ' m aware the planning party own the property on the corner and we have had no issues with them so i can ' t see this being any different. ultimately we have little kids and i know we would prefer our kids looking out the window or walking down the street seeing a new build rather than what they see now which we have to hide from them. also the yard has been empty for years which does seem to be a waste.</t>
  </si>
  <si>
    <t>i do appreciate that the early construction phase will be disruptive for us all. my neighbour at no 72 spent 2 years completely rebuilding his house. but whilst it was a little disruptive for a while, the end result is magnificent. - both for him and his family and for the other neighbours on the street as it he has replaced an old, tired property with one that is both proud and new. good for him and good for mr. i wish him and his family well and hope they are allowed to build their dream house.</t>
  </si>
  <si>
    <t>['i do appreciate that the early construction phase will be disruptive for us all. my neighbour at no 72 spent 2 years completely rebuilding his house. but whilst it was a little disruptive for a while, the end result is magnificent. - both for him and his family and for the other neighbours on the street as it he has replaced an old, tired property with one that is both proud and new. good for him and good for mr. i wish him and his family well and hope they are allowed to build their dream house.', "regarding this matter i previously did raise no objection, living directly opposite the proposed building site location i have strong views as to why there is no need to object this plan. i constantly see the site being mis - used for anti social behaviours to list a few ; fly tipping, youth jumping over and ' spending ' time in there, mechanic using it to throw old parts / oil galons and leaving mess outside, other potential illegal activities i ' d rather not elaborate on. however the plan will change the existing location from a mis - used derelict site to a property which will house a family in need which will add to the community, i ' m aware the planning party own the property on the corner and we have had no issues with them so i can ' t see this being any different. ultimately we have little kids and i know we would prefer our kids looking out the window or walking down the street seeing a new build rather than what they see now which we have to hide from them. also the yard has been empty for years which does seem to be a waste.", 'me and my family support and welcome the development.']</t>
  </si>
  <si>
    <t>['family', 'mix', 'kinship', 'kids', 'house', 'grandfather', 'lived', 'kidharon', 'bungalow', 'neighbour']</t>
  </si>
  <si>
    <t>['family', 'my', 'friend', 'him', 'youth', '2018', 'community', 'for', 'and', 'from']</t>
  </si>
  <si>
    <t>55_family_my_friend_him</t>
  </si>
  <si>
    <t>family houses are needed.</t>
  </si>
  <si>
    <t>2. the proposal for family houses is appropriate for the local area and much needed - so many houses are being made into multiple single use dwellings this is an issue. we need good fresh family housing stock</t>
  </si>
  <si>
    <t>as a local resident with a new and growing family living in i know how hard it is to find family sized accommodation. i can only imagine how difficult it must be to find accommodation suitable for a family inclusive of an infant with acute medical needs. in this regard. not only is the development sensitive and considered but it will allow a family to grow in the neighbourhood whilst providing patently crucial space for people with a real and genuine requirement for a positive outcome.</t>
  </si>
  <si>
    <t>['as a local resident with a new and growing family living in i know how hard it is to find family sized accommodation. i can only imagine how difficult it must be to find accommodation suitable for a family inclusive of an infant with acute medical needs. in this regard. not only is the development sensitive and considered but it will allow a family to grow in the neighbourhood whilst providing patently crucial space for people with a real and genuine requirement for a positive outcome.', '2. the proposal for family houses is appropriate for the local area and much needed - so many houses are being made into multiple single use dwellings this is an issue. we need good fresh family housing stock', 'family houses are needed.']</t>
  </si>
  <si>
    <t>['family', 'dwelling', 'single', 'house', 'housing', 'home', 'homes', 'residential', 'accommodation', 'support']</t>
  </si>
  <si>
    <t>['family', 'single', 'home', 'houses', 'needed', 'property', 'sized', 'flats', 'dwelling', 'accommodation']</t>
  </si>
  <si>
    <t>54_family_single_home_houses</t>
  </si>
  <si>
    <t>parking : there has never been an issue with parking on this road or even the neighbouring roads as some properties do have the use of their own driveways and there is plenty of off - street parking.</t>
  </si>
  <si>
    <t>-. there will be parking space inside the property which will not cause any traffic or parking on the roads..</t>
  </si>
  <si>
    <t>['-. there will be parking space inside the property which will not cause any traffic or parking on the roads..', 'parking : there has never been an issue with parking on this road or even the neighbouring roads as some properties do have the use of their own driveways and there is plenty of off - street parking.', 'parking']</t>
  </si>
  <si>
    <t>['parking', 'car', 'parked', 'traffic', 'drive', 'cars', 'vehicle', 'permits', 'vehicles', 'road']</t>
  </si>
  <si>
    <t>['parking', 'spaces', 'traffic', 'issue', 'cars', 'there', 'car', 'road', 'be', 'are']</t>
  </si>
  <si>
    <t>53_parking_spaces_traffic_issue</t>
  </si>
  <si>
    <t>we have been living at for 26 years, during which time both independence, support and enjoyment of life, for us both, has been very much enhanced. prior to moving here in 1998 and also for some years thereafter, had a 6 day a week working life and carryied a lot of stress as he constantly worried about me at home, alone and immobile. and so we eventually sought an ' alternative lifestyle ' and moved to fairacres and have never looked back. as a wheelchair user, moving to fairacres gave me total independence within a safe environment that offered 24 / 7 emergency cover on site, as well as neighbourly companionship and ( if desired ) community life. as for, his working days became free of stress knowing i was in a safe environment in a comfortable apartment. also, fairacres is conveniently positioned where disabled people including wheelchair - users can easily access shops, doctor ' s surgeries, dentists, etc. and all other amenities. with well - serviced bus routes available, fairacres is on an ideal site to serve its community. that was 26 years ago and the same still applies!</t>
  </si>
  <si>
    <t>the applicant is proposing fully inclusive and accessible changing rooms and other facilities and works that will ensure all outdoor areas are fully wheelchair accessible. access to these facilities would also benefit people we support with mobility issues or other similar disabilities.</t>
  </si>
  <si>
    <t>the proposed re - developement of fairacres would provide all tenants with vast improvements on the status - quo ; but most expecially wheelchair - users. being the user of a large purpose - built wheelchair myself, the present dimensions of our apartment makes for difficult manoeuvering. wheelchairs have, over the years, not only become more sophisticated but also substantially larger. expansion of the present dimensions of fairacres would much improve my wheelchair mobility and consequently give me more manoeuverability and independence both within our apartment and the extended building.</t>
  </si>
  <si>
    <t>['the proposed re - developement of fairacres would provide all tenants with vast improvements on the status - quo ; but most expecially wheelchair - users. being the user of a large purpose - built wheelchair myself, the present dimensions of our apartment makes for difficult manoeuvering. wheelchairs have, over the years, not only become more sophisticated but also substantially larger. expansion of the present dimensions of fairacres would much improve my wheelchair mobility and consequently give me more manoeuverability and independence both within our apartment and the extended building.', 'the applicant is proposing fully inclusive and accessible changing rooms and other facilities and works that will ensure all outdoor areas are fully wheelchair accessible. access to these facilities would also benefit people we support with mobility issues or other similar disabilities.', "we have been living at for 26 years, during which time both independence, support and enjoyment of life, for us both, has been very much enhanced. prior to moving here in 1998 and also for some years thereafter, had a 6 day a week working life and carryied a lot of stress as he constantly worried about me at home, alone and immobile. and so we eventually sought an ' alternative lifestyle ' and moved to fairacres and have never looked back. as a wheelchair user, moving to fairacres gave me total independence within a safe environment that offered 24 / 7 emergency cover on site, as well as neighbourly companionship and ( if desired ) community life. as for, his working days became free of stress knowing i was in a safe environment in a comfortable apartment. also, fairacres is conveniently positioned where disabled people including wheelchair - users can easily access shops, doctor ' s surgeries, dentists, etc. and all other amenities. with well - serviced bus routes available, fairacres is on an ideal site to serve its community. that was 26 years ago and the same still applies!"]</t>
  </si>
  <si>
    <t>['accessible', 'wheelchair', 'disabled', 'wheelchairs', 'disabilities', 'impaired', 'inclusive', 'vulnerable', 'blind', 'access']</t>
  </si>
  <si>
    <t>['accessible', 'wheelchair', 'disabilities', 'fairacres', 'disabled', 'unsuitable', 'people', 'mobility', 'toilets', 'our']</t>
  </si>
  <si>
    <t>52_accessible_wheelchair_disabilities_fairacres</t>
  </si>
  <si>
    <t>we have no issues with the plans to build a two story two bedroom house on the grounds of 14 preston and support this application.</t>
  </si>
  <si>
    <t>this proposal looks from the plans like providing much needed family housing in the area. contrary to may developments which only provide small flats this has provided 2 x 3 bedroom flats and 1 x 2 bedroom flat. there is also outside space for each of the flats that can be provided due to the side alley. many houses on the street have been converted and do not provide the much needed family housing</t>
  </si>
  <si>
    <t>['we have no issues with the plans to build a two story two bedroom house on the grounds of 14 preston and support this application.', 'this proposal looks from the plans like providing much needed family housing in the area. contrary to may developments which only provide small flats this has provided 2 x 3 bedroom flats and 1 x 2 bedroom flat. there is also outside space for each of the flats that can be provided due to the side alley. many houses on the street have been converted and do not provide the much needed family housing', 'we have no issues with the plans to build a two story two bedroom house on the grounds of 14 preston and support this application.']</t>
  </si>
  <si>
    <t>['bedroom', 'family', 'bedroomed', 'mix', 'married', 'intergenerational', 'mixing', 'mixed', 'baby', 'single']</t>
  </si>
  <si>
    <t>['bedroom', 'two', 'family', 'flats', 'mix', 'mixed', 'preston', 'offices', 'bedroomed', 'flat']</t>
  </si>
  <si>
    <t>51_bedroom_two_family_flats</t>
  </si>
  <si>
    <t>the current site is ineffectively and under used. the current low rise and non - housing use, is completely out of keeping with the area. there is significant private development are the top area of and this new development would be very much in keeping with that and would help to address the current inequality, or private homes only, and no social housing. the proposal is not of high density. the plot is large and has ample space to accommodate the proposed development, particularly when looking at the sizes of developments proposed on adjoining site. the development will provide much needed homes which will directly benefit those in need of social housing in the immediate area. it is unfortunately that the council cannot compulsorily purchase neighbouring site where less appropriate developments have been approved, and expand further this development.</t>
  </si>
  <si>
    <t>i am supportive of these plans as it has been well documented that there is and continues to be a lack of good quality properties available to rent in and the surrounding areas. creating additional properties for the rental market is of paramount importance as demand continues to be at an all time high with very limited supply available. the proposed plans will provide much needed additional accommodation, especially smaller units. continues to be a very popular location to live but with limited supply people are finding it increasingly hard to find what they need, especially when it comes to one and two bedroom apartments of which there is little available. the plans will not alter the look and feel of the mews and appears to be in keeping with the existing buildings.</t>
  </si>
  <si>
    <t>the residents association supports this application. the proposals to deliver eight, 3 / 4 bedroom new family homes are much welcomed. this outweighs the loss of a small amount of designated employment land, although we understand most of the units on this part of the site are currently unoccupied. however, the retention of the residual part of the site for employment uses and new businesses is absolutely essential to offer opportunities for new businesses to come to the area, especially after the loss of the brake shear site in. we feel some of the design and materials for the houses could be improved, particularly the roof covering and would ask the applicant to come forward with alternatives that are more in keeping with the character of the surrounding residential properties.</t>
  </si>
  <si>
    <t>['the residents association supports this application. the proposals to deliver eight, 3 / 4 bedroom new family homes are much welcomed. this outweighs the loss of a small amount of designated employment land, although we understand most of the units on this part of the site are currently unoccupied. however, the retention of the residual part of the site for employment uses and new businesses is absolutely essential to offer opportunities for new businesses to come to the area, especially after the loss of the brake shear site in. we feel some of the design and materials for the houses could be improved, particularly the roof covering and would ask the applicant to come forward with alternatives that are more in keeping with the character of the surrounding residential properties.', 'i am supportive of these plans as it has been well documented that there is and continues to be a lack of good quality properties available to rent in and the surrounding areas. creating additional properties for the rental market is of paramount importance as demand continues to be at an all time high with very limited supply available. the proposed plans will provide much needed additional accommodation, especially smaller units. continues to be a very popular location to live but with limited supply people are finding it increasingly hard to find what they need, especially when it comes to one and two bedroom apartments of which there is little available. the plans will not alter the look and feel of the mews and appears to be in keeping with the existing buildings.', 'the current site is ineffectively and under used. the current low rise and non - housing use, is completely out of keeping with the area. there is significant private development are the top area of and this new development would be very much in keeping with that and would help to address the current inequality, or private homes only, and no social housing. the proposal is not of high density. the plot is large and has ample space to accommodate the proposed development, particularly when looking at the sizes of developments proposed on adjoining site. the development will provide much needed homes which will directly benefit those in need of social housing in the immediate area. it is unfortunately that the council cannot compulsorily purchase neighbouring site where less appropriate developments have been approved, and expand further this development.']</t>
  </si>
  <si>
    <t>['bedroom', 'family', 'look', 'design', 'character', 'mix', 'architectural', 'looks', 'keeping', 'married']</t>
  </si>
  <si>
    <t>['family', 'design', 'keeping', 'mix', 'area', 'with', 'much', 'bedroom', 'the', 'that']</t>
  </si>
  <si>
    <t>50_family_design_keeping_mix</t>
  </si>
  <si>
    <t>with local government resources already tight, rejecting this application could incur significant legal costs to the council. i ' d rather budgets were spent on ensuring good welfare of residents, rather than fighting off other people benefiting from. being one of the least affordable areas in the country it is essential that we increase supply of housing, so that locals are not priced out of. specifically, this scheme is ideally located near transport links and is in keeping with the local areas character. there are no good reasons to deny this application, and plenty of good reasons to support it. for these reasons, i ask that you support the application.</t>
  </si>
  <si>
    <t>i support the project at 62 for a multitude of reasons. firstly, the project significantly contributes to alleviating the housing shortage in by delivering additional residential units. this is particularly crucial in a densely populated and fast - growing urban area. secondly, the project includes the restoration of the facade of a historical building, ensuring the preservation of the area ' s architectural heritage. this aspect of the project is not only about maintaining the aesthetic charm of the past but also about respecting the cultural significance of the building. additionally, the project modernizes a historical structure in a thoughtful and considerate manner, blending the old with the new seamlessly. this approach shows a deep understanding of how to adapt historical buildings to contemporary needs without compromising their intrinsic value. lastly, the positive consultation with neighbors adds significant value to the project. engaging with the local community and incorporating their feedback demonstrates a commitment to a holistic and inclusive approach to urban development. this level of neighbor involvement is commendable and sets a precedent for future projects.</t>
  </si>
  <si>
    <t>i recently moved to the area and believe that properties converted from a victorian home to apartments is a great way of firstly restoring back character and investing money into salvaging these properties but also offering homes at a affordable price range to cater to a wider market. houses in a fetching over 3million. the you generation cannot afford these type of house so these type of properties offer the accommodation we need more supply of. the population is getting bigger there is cleary not enough space to build new build single dwelling houses this is a great way to achieve that.</t>
  </si>
  <si>
    <t>['i recently moved to the area and believe that properties converted from a victorian home to apartments is a great way of firstly restoring back character and investing money into salvaging these properties but also offering homes at a affordable price range to cater to a wider market. houses in a fetching over 3million. the you generation cannot afford these type of house so these type of properties offer the accommodation we need more supply of. the population is getting bigger there is cleary not enough space to build new build single dwelling houses this is a great way to achieve that.', "i support the project at 62 for a multitude of reasons. firstly, the project significantly contributes to alleviating the housing shortage in by delivering additional residential units. this is particularly crucial in a densely populated and fast - growing urban area. secondly, the project includes the restoration of the facade of a historical building, ensuring the preservation of the area ' s architectural heritage. this aspect of the project is not only about maintaining the aesthetic charm of the past but also about respecting the cultural significance of the building. additionally, the project modernizes a historical structure in a thoughtful and considerate manner, blending the old with the new seamlessly. this approach shows a deep understanding of how to adapt historical buildings to contemporary needs without compromising their intrinsic value. lastly, the positive consultation with neighbors adds significant value to the project. engaging with the local community and incorporating their feedback demonstrates a commitment to a holistic and inclusive approach to urban development. this level of neighbor involvement is commendable and sets a precedent for future projects.", "with local government resources already tight, rejecting this application could incur significant legal costs to the council. i ' d rather budgets were spent on ensuring good welfare of residents, rather than fighting off other people benefiting from. being one of the least affordable areas in the country it is essential that we increase supply of housing, so that locals are not priced out of. specifically, this scheme is ideally located near transport links and is in keeping with the local areas character. there are no good reasons to deny this application, and plenty of good reasons to support it. for these reasons, i ask that you support the application."]</t>
  </si>
  <si>
    <t>['look', 'character', 'design', 'style', 'architectural', 'keeping', 'shortage', 'affordable', 'supply', 'budgets']</t>
  </si>
  <si>
    <t>['affordable', 'shortage', 'look', 'housing', 'apartments', 'reasons', 'more', 'new', 'design', 'project']</t>
  </si>
  <si>
    <t>49_affordable_shortage_look_housing</t>
  </si>
  <si>
    <t>the application seems to have forgotten to include a tree assessment or a biodiversity net gain assessment ( to comply with the environment act 2021 ). as such it appears to currently to in breach of national planning policy and should not be considered valid until this information has been provided ( unless this information is yet to be uploaded to the planning portal ), given the remit of the ea was expanded to include such developments as of april 2024 ( and this was submitted in june 2024 ). the das also references ' no biodiversity ' owing to the site having been cleared immediately before submission of this application. a pretty cynical thing to do to skirt having to replace habitat that is lost ( on site or off - at cost ) or face negative material weight in the planning balance. however, a site cleared of vegetation doesn ' t automatically have ' no biodiversity ' as there are still trees / shrub species on the site, with some patchy grassland / shrubland. it isn ' t a brownfield site or concreted over, so the assertion there is ' no biodiversity ' is pretty bizarre and inaccurate. a number of comments have been submitted in relation to construction impact. this street and the surrounding streets have had construction work taking place on permitted developments ( like dormer boxes ) on an ongoing basis for</t>
  </si>
  <si>
    <t>- the development has an urban greening factor of + 0. 4 and a net biodiversity gain which has lots of new planting and landscaping across the property.</t>
  </si>
  <si>
    <t>8. the scheme achieves an urban greening factor of + 0. 4 and a net gain in biodiversity including new planting and landscaping across the site.</t>
  </si>
  <si>
    <t>['8. the scheme achieves an urban greening factor of + 0. 4 and a net gain in biodiversity including new planting and landscaping across the site.', '- the development has an urban greening factor of + 0. 4 and a net biodiversity gain which has lots of new planting and landscaping across the property.', "the application seems to have forgotten to include a tree assessment or a biodiversity net gain assessment ( to comply with the environment act 2021 ). as such it appears to currently to in breach of national planning policy and should not be considered valid until this information has been provided ( unless this information is yet to be uploaded to the planning portal ), given the remit of the ea was expanded to include such developments as of april 2024 ( and this was submitted in june 2024 ). the das also references ' no biodiversity ' owing to the site having been cleared immediately before submission of this application. a pretty cynical thing to do to skirt having to replace habitat that is lost ( on site or off - at cost ) or face negative material weight in the planning balance. however, a site cleared of vegetation doesn ' t automatically have ' no biodiversity ' as there are still trees / shrub species on the site, with some patchy grassland / shrubland. it isn ' t a brownfield site or concreted over, so the assertion there is ' no biodiversity ' is pretty bizarre and inaccurate. a number of comments have been submitted in relation to construction impact. this street and the surrounding streets have had construction work taking place on permitted developments ( like dormer boxes ) on an ongoing basis for"]</t>
  </si>
  <si>
    <t>['biodiversity', 'environment', 'wildlife', 'ecological', 'species', 'habitat', 'birds', 'bird', 'habitats', 'carbon']</t>
  </si>
  <si>
    <t>['environment', 'biodiversity', 'wildlife', 'greening', 'gain', 'net', 'planting', 'green', 'create', 'species']</t>
  </si>
  <si>
    <t>48_environment_biodiversity_wildlife_greening</t>
  </si>
  <si>
    <t>as a long - time resident of council, i ' m excited to lend my full support to the planning application for the construction of two new house dwellings in our area. this proposal not only addresses the pressing need for housing but also presents an opportunity to enhance our neighborhood in a thoughtful and sustainable manner. the addition of these new dwellings will not only provide much - needed accommodation options but also contribute to the vitality and diversity of our community. i believe that responsible development is crucial for the continued growth and prosperity of our area, and this proposal aligns perfectly with that ethos. having reviewed the plans, i am impressed by the attention to detail and consideration for the surrounding environment. it ' s clear that this project has been thoughtfully designed to complement the existing character of our neighborhood while meeting the evolving needs of our community. i wholeheartedly endorse this application and urge the council to approve it. i am confident that the construction of these new house dwellings will bring significant benefits to our community, both now and in the future.</t>
  </si>
  <si>
    <t>as such, i feel that the modern and well thought out design put forward by the applicant will be an excellent contribution towards enhancing the character of the area and will contribute positively to the quality of the natural environment.</t>
  </si>
  <si>
    <t>['as such, i feel that the modern and well thought out design put forward by the applicant will be an excellent contribution towards enhancing the character of the area and will contribute positively to the quality of the natural environment.', 'as such, i feel that the modern and well thought out design put forward by the applicant will be an excellent contribution towards enhancing the character of the area and will contribute positively to the quality of the natural environment.', "as a long - time resident of council, i ' m excited to lend my full support to the planning application for the construction of two new house dwellings in our area. this proposal not only addresses the pressing need for housing but also presents an opportunity to enhance our neighborhood in a thoughtful and sustainable manner. the addition of these new dwellings will not only provide much - needed accommodation options but also contribute to the vitality and diversity of our community. i believe that responsible development is crucial for the continued growth and prosperity of our area, and this proposal aligns perfectly with that ethos. having reviewed the plans, i am impressed by the attention to detail and consideration for the surrounding environment. it ' s clear that this project has been thoughtfully designed to complement the existing character of our neighborhood while meeting the evolving needs of our community. i wholeheartedly endorse this application and urge the council to approve it. i am confident that the construction of these new house dwellings will bring significant benefits to our community, both now and in the future."]</t>
  </si>
  <si>
    <t>['appearance', 'character', 'design', 'blend', 'environment', 'wildlife', 'ecological', 'species', 'biodiverse', 'designed']</t>
  </si>
  <si>
    <t>['environment', 'ecological', 'roof', 'sedum', 'design', 'wildlife', 'our', 'applicant', 'thought', 'the']</t>
  </si>
  <si>
    <t>47_environment_ecological_roof_sedum</t>
  </si>
  <si>
    <t>i strongly support to this planning permission application.</t>
  </si>
  <si>
    <t>i strongly support this planning permission application.</t>
  </si>
  <si>
    <t>['i strongly support this planning permission application.', 'i strongly support to this planning permission application.', 'i strongly support to this planning permission application.']</t>
  </si>
  <si>
    <t>['permission', 'application', 'council', 'granting', 'proposals', 'planning', 'councillors', 'resident', 'applied', 'planing']</t>
  </si>
  <si>
    <t>['permission', 'planning', 'grant', 'granted', 'you', 'strongly', 'must', 'team', 'appreciate', 'information']</t>
  </si>
  <si>
    <t>46_permission_planning_grant_granted</t>
  </si>
  <si>
    <t>the proposed development scheme would not result in any effects on the significance or setting of nearby listed buildings or the nearby churchfields conservation area. as such, there would be preservation for the purposes of the decision maker ' s duty under section 72 of the planning ( listed building and conservation area ) act 1990.</t>
  </si>
  <si>
    <t>the proposed development scheme would not result in any effects on the significance or setting of nearby listed buildings or the nearby conservation area. as such, there would be preservation for the purposes of the decision maker ' s duty under section 72 of the planning ( listed building and conservation area ) act 1990. i support this application</t>
  </si>
  <si>
    <t>it is considered that the proposals would be in accordance with sections 16 and 66 of the planning ( listed buildings and conservation areas ) act 1990, paragraphs 195 and 196 of the nppf, policies d3 and hc1 of the london plan, policies 7. 4, 7b, and 7c of ' s development management dpd and the green conservation area management plan.</t>
  </si>
  <si>
    <t>["it is considered that the proposals would be in accordance with sections 16 and 66 of the planning ( listed buildings and conservation areas ) act 1990, paragraphs 195 and 196 of the nppf, policies d3 and hc1 of the london plan, policies 7. 4, 7b, and 7c of ' s development management dpd and the green conservation area management plan.", "the proposed development scheme would not result in any effects on the significance or setting of nearby listed buildings or the nearby conservation area. as such, there would be preservation for the purposes of the decision maker ' s duty under section 72 of the planning ( listed building and conservation area ) act 1990. i support this application", "the proposed development scheme would not result in any effects on the significance or setting of nearby listed buildings or the nearby churchfields conservation area. as such, there would be preservation for the purposes of the decision maker ' s duty under section 72 of the planning ( listed building and conservation area ) act 1990."]</t>
  </si>
  <si>
    <t>['conservation', 'listed', 'archaeological', 'grade', 'preservation', 'era', 'kept', 'restored', 'conserve', 'site']</t>
  </si>
  <si>
    <t>['listed', 'conservation', 'buildings', '1990', 'building', 'act', 'nearby', 'policies', 'kept', 'significance']</t>
  </si>
  <si>
    <t>45_listed_conservation_buildings_1990</t>
  </si>
  <si>
    <t>the site of the garages is well known to be a problem site within the conservation area. its development was recommended as long ago as 2009 when it was identified in the stockwell park conservation area statement as being a site which made a negative contribution to the area. it is high time the council permitted a development which will greatly improve the site.</t>
  </si>
  <si>
    <t>as such we support this application as this makes a positive contribution towards the conservation area</t>
  </si>
  <si>
    <t>the proposal would enhance this part of the conservation area.</t>
  </si>
  <si>
    <t>['the proposal would enhance this part of the conservation area.', 'as such we support this application as this makes a positive contribution towards the conservation area', 'the site of the garages is well known to be a problem site within the conservation area. its development was recommended as long ago as 2009 when it was identified in the stockwell park conservation area statement as being a site which made a negative contribution to the area. it is high time the council permitted a development which will greatly improve the site.']</t>
  </si>
  <si>
    <t>['conservation', 'heritage', 'historic', 'list', 'identified', 'preservation', 'known', 'victorian', 'site', 'restoration']</t>
  </si>
  <si>
    <t>['conservation', 'heritage', 'area', 'contribution', 'as', 'site', 'this', 'well', 'sensitive', 'is']</t>
  </si>
  <si>
    <t>44_conservation_heritage_area_contribution</t>
  </si>
  <si>
    <t>5. 760 sqm of high - quality flexible commercial space are proposed which will provide opportunities for local businesses and / or complement the local residential area.</t>
  </si>
  <si>
    <t>760 sqm of high - quality flexible commercial space are proposed that will provide opportunities for local businesses and / or complement the local residential area.</t>
  </si>
  <si>
    <t>['760 sqm of high - quality flexible commercial space are proposed that will provide opportunities for local businesses and / or complement the local residential area.', '5. 760 sqm of high - quality flexible commercial space are proposed which will provide opportunities for local businesses and / or complement the local residential area.', '5. 760 sqm of high - quality flexible commercial space are proposed which will provide opportunities for local businesses and / or complement the local residential area.']</t>
  </si>
  <si>
    <t>['sales', 'commercial', 'businesses', 'quality', 'selling', 'investment', 'enterprise', 'employment', 'firms', 'residential']</t>
  </si>
  <si>
    <t>['commercial', 'flexible', 'space', 'floor', '760', 'ground', 'complement', 'sqm', 'high', 'residential']</t>
  </si>
  <si>
    <t>43_commercial_flexible_space_floor</t>
  </si>
  <si>
    <t>over covid, the community cared for its members both financially and socially with visits, charity, education and social activity</t>
  </si>
  <si>
    <t>over covid, the community cared for its members both financially and socially with visits, charity, education and social activity, and our children consider it their second home.</t>
  </si>
  <si>
    <t>['over covid, the community cared for its members both financially and socially with visits, charity, education and social activity, and our children consider it their second home.', 'over covid, the community cared for its members both financially and socially with visits, charity, education and social activity', 'over covid, the community cared for its members both financially and socially with visits, charity, education and social activity']</t>
  </si>
  <si>
    <t>['charities', 'charity', 'charitable', 'volunteer', 'funding', 'grants', 'services', 'accommodation', 'organisations', 'support']</t>
  </si>
  <si>
    <t>['charity', 'grant', 'charities', 'funding', 'covid', 'visits', 'financially', 'education', 'cared', 'its']</t>
  </si>
  <si>
    <t>42_charity_grant_charities_funding</t>
  </si>
  <si>
    <t>we need more social housing</t>
  </si>
  <si>
    <t>i write in support of this development that will provide much needed social rent housing.</t>
  </si>
  <si>
    <t>the need for investment in social provision is growing, as we learn ever more about the depth of need that people in our communities have. the lack of public - sector funding to tackle community need shows no sign of abating and the role of charities and social investment in supporting older people ' s social housing is greater than ever.</t>
  </si>
  <si>
    <t>["the need for investment in social provision is growing, as we learn ever more about the depth of need that people in our communities have. the lack of public - sector funding to tackle community need shows no sign of abating and the role of charities and social investment in supporting older people ' s social housing is greater than ever.", 'i write in support of this development that will provide much needed social rent housing.', 'we need more social housing']</t>
  </si>
  <si>
    <t>['housing', 'rent', 'mix', 'families', 'gentrification', 'social', 'accommodation', 'homes', 'maisonettes', 'support']</t>
  </si>
  <si>
    <t>['social', 'housing', 'rent', 'need', 'needed', 'more', 'support', '24', 'people', 'this']</t>
  </si>
  <si>
    <t>41_social_housing_rent_need</t>
  </si>
  <si>
    <t>in fact, at present the club is underused and there is concern that with fewer members in recent years, the club is going into decline. this relates to the lack of adequate clubhouse facilities, with a building dating from the 1920 ' s that has been steadily falling into disrepair over a number of years, without the funds to adequately maintain it. tennis clubs require a consistent level of income to remain viable and maintain facilities. the existing clubhouse, if left in its current state, is likely to become unusable in the not too distant future. the outcome of this is that with no viable additional funding and consequent dwindling membership, the club will simply have to close. this will have a very significant negative impact, not only on the tennis and squash playing members, but also on the wider community, with a huge loss of local community space and access to sport.</t>
  </si>
  <si>
    <t>houses are too old now and needs regeneration and development, i support this proposals for converting the houses to modern flats specially in this area.</t>
  </si>
  <si>
    <t>['houses are too old now and needs regeneration and development, i support this proposals for converting the houses to modern flats specially in this area.', 'houses are too old now and needs regeneration and development, i support this proposals for converting the houses to modern flats specially in this area.', "in fact, at present the club is underused and there is concern that with fewer members in recent years, the club is going into decline. this relates to the lack of adequate clubhouse facilities, with a building dating from the 1920 ' s that has been steadily falling into disrepair over a number of years, without the funds to adequately maintain it. tennis clubs require a consistent level of income to remain viable and maintain facilities. the existing clubhouse, if left in its current state, is likely to become unusable in the not too distant future. the outcome of this is that with no viable additional funding and consequent dwindling membership, the club will simply have to close. this will have a very significant negative impact, not only on the tennis and squash playing members, but also on the wider community, with a huge loss of local community space and access to sport."]</t>
  </si>
  <si>
    <t>['dilapidated', 'old', 'replacement', 'overhaul', 'regeneration', 'repair', 'disrepair', 'maintain', 'modern', 'building']</t>
  </si>
  <si>
    <t>['repair', 'dilapidated', 'houses', 'disrepair', 'old', 'specially', 'regeneration', 'years', 'too', 'converting']</t>
  </si>
  <si>
    <t>40_repair_dilapidated_houses_disrepair</t>
  </si>
  <si>
    <t>comment of support received</t>
  </si>
  <si>
    <t>comment received</t>
  </si>
  <si>
    <t>support comment received by email</t>
  </si>
  <si>
    <t>['support comment received by email', 'comment received', 'comment of support received']</t>
  </si>
  <si>
    <t>['comments', 'comment', 'email', 'received', 'posting', 'arguments', 'stating', 'submission', 'supporting', 'support']</t>
  </si>
  <si>
    <t>['comment', 'comments', 'received', 'tab', 'document', 'email', 'dated', '2024', 'my', '10']</t>
  </si>
  <si>
    <t>39_comment_comments_received_tab</t>
  </si>
  <si>
    <t>the proposed development also secures a number of heritage benefits which enhance the significance of the conservation area through the introduction of a more well - maintained character to the site which is typical of the area and enhancements to the boundary treatment.</t>
  </si>
  <si>
    <t>['the proposed development also secures a number of heritage benefits which enhance the significance of the conservation area through the introduction of a more well - maintained character to the site which is typical of the area and enhancements to the boundary treatment.', 'the proposed development also secures a number of heritage benefits which enhance the significance of the conservation area through the introduction of a more well - maintained character to the site which is typical of the area and enhancements to the boundary treatment.', 'the proposed development also secures a number of heritage benefits which enhance the significance of the conservation area through the introduction of a more well - maintained character to the site which is typical of the area and enhancements to the boundary treatment.']</t>
  </si>
  <si>
    <t>['conservation', 'heritage', 'listed', 'design', 'styles', 'appearance', 'architectural', 'character', 'style', 'look']</t>
  </si>
  <si>
    <t>['conservation', 'heritage', 'historic', 'character', 'completes', 'area', 'balances', '1974', '1982', 'infill']</t>
  </si>
  <si>
    <t>38_conservation_heritage_historic_character</t>
  </si>
  <si>
    <t>other exemplary features of the scheme include green roofing, the use of solar power, provision of sprinklers in all apartments, and widening of the pavement. this is an application worthy of support. these plans are greener, safer and more sustainable than the originals and we are confident they will provide high quality accommodation for the future residents of seavington house. we look forward to seeing them realised.</t>
  </si>
  <si>
    <t>protection and continuation of the historic avenue on will further complement local character. other exemplary features of the scheme include green roofing, the use of solar power, provision of sprinklers in all apartments, and widening of the pavement. this is an application worthy of support. these plans are greener, safer and more sustainable than the originals and we are confident they will provide high quality accommodation for the future residents of. looking forward to seeing them realised.</t>
  </si>
  <si>
    <t>a substantial landmark oak on the corner of dog and of street trees along the dog frontage. these will enhance local character on the approach to conservation area while mitigating noise and traffic pollution. protection and continuation of the historic lime tree avenue on champion hill will further complement local character. other exemplary features of the scheme include green roofing, the use of solar power, provision of sprinklers in all apartments, and widening of the pavement. this is an application worthy of support. these plans are greener, safer and more sustainable than the originals and we are confident they will provide high quality accommodation for the future residents of seavington house. we look forward to seeing them realised.</t>
  </si>
  <si>
    <t>['a substantial landmark oak on the corner of dog and of street trees along the dog frontage. these will enhance local character on the approach to conservation area while mitigating noise and traffic pollution. protection and continuation of the historic lime tree avenue on champion hill will further complement local character. other exemplary features of the scheme include green roofing, the use of solar power, provision of sprinklers in all apartments, and widening of the pavement. this is an application worthy of support. these plans are greener, safer and more sustainable than the originals and we are confident they will provide high quality accommodation for the future residents of seavington house. we look forward to seeing them realised.', 'protection and continuation of the historic avenue on will further complement local character. other exemplary features of the scheme include green roofing, the use of solar power, provision of sprinklers in all apartments, and widening of the pavement. this is an application worthy of support. these plans are greener, safer and more sustainable than the originals and we are confident they will provide high quality accommodation for the future residents of. looking forward to seeing them realised.', 'other exemplary features of the scheme include green roofing, the use of solar power, provision of sprinklers in all apartments, and widening of the pavement. this is an application worthy of support. these plans are greener, safer and more sustainable than the originals and we are confident they will provide high quality accommodation for the future residents of seavington house. we look forward to seeing them realised.']</t>
  </si>
  <si>
    <t>['character', 'design', 'sustainable', 'architectural', 'aesthetics', 'carbon', 'climate', 'sustainability', 'emissions', 'thermal']</t>
  </si>
  <si>
    <t>['sustainable', 'carbon', 'design', 'environmental', 'energy', 'power', 'future', 'of', 'originals', 'sprinklers']</t>
  </si>
  <si>
    <t>37_sustainable_carbon_design_environmental</t>
  </si>
  <si>
    <t>the trust</t>
  </si>
  <si>
    <t>is of vital importance to the association and its ability to operate in the local barnet area. our concern is the trust will sell the land regardless and without the trust these vital considerations will be lost and with it our local presence in the community.</t>
  </si>
  <si>
    <t>health services to the local community. the trust supports the redevelopment of the site ;</t>
  </si>
  <si>
    <t>['health services to the local community. the trust supports the redevelopment of the site ;', 'is of vital importance to the association and its ability to operate in the local barnet area. our concern is the trust will sell the land regardless and without the trust these vital considerations will be lost and with it our local presence in the community.', 'the trust']</t>
  </si>
  <si>
    <t>['trust', 'trusts', 'trustees', 'partners', 'engage', 'settlement', 'dealing', 'services', 'consultative', 'collaboratively']</t>
  </si>
  <si>
    <t>['trust', 'engage', '1968', 'settlement', 'health', 'vital', 'gwyneth', 'slam', 'cowing', 'her']</t>
  </si>
  <si>
    <t>36_trust_engage_1968_settlement</t>
  </si>
  <si>
    <t>3. i love how the building looks and the fresh feel it will give to our neighbourhood.</t>
  </si>
  <si>
    <t>i love how the building looks and the fresh feel it will give to our neighbourhood</t>
  </si>
  <si>
    <t>['i love how the building looks and the fresh feel it will give to our neighbourhood', '3. i love how the building looks and the fresh feel it will give to our neighbourhood.', '3. i love how the building looks and the fresh feel it will give to our neighbourhood.']</t>
  </si>
  <si>
    <t>['aesthetically', 'looks', 'keeping', 'visuals', 'layout', 'inspiration', 'drawing', 'materiality', 'traditional', 'architecture']</t>
  </si>
  <si>
    <t>['looks', 'fresh', 'neighbourhood', 'love', 'looking', 'give', 'good', 'keeping', 'building', 'buildings']</t>
  </si>
  <si>
    <t>35_looks_fresh_neighbourhood_love</t>
  </si>
  <si>
    <t>the decision to restore the facade and add an additional floor to this historic building at 62 is a commendable endeavor. this restoration not only preserves a crucial part of ' s architectural and cultural heritage but also revitalizes it for contemporary use. the respectful restoration of the facade pays homage to the site ' s rich history, honoring the legacy of and his contributions to the craft of furniture making.</t>
  </si>
  <si>
    <t>the restoration of the historical facade of 62 is more than just an aesthetic improvement ; it is a powerful statement about valuing and revitalizing our cultural and architectural history. this thoughtful approach to development not only enhances the visual appeal of the area but also enriches the cultural tapestry of. it is a testament to the fact that modern development and historical preservation can coexist harmoniously, each contributing to the city ' s diverse and dynamic character.</t>
  </si>
  <si>
    <t>i support the proposed planning application for 62. this development is notable for both preserving the site ' s rich history in furniture making and addressing the need for more housing in. the project has involved positive consultation with neighbors, ensuring community interests are considered. this balance of historical preservation with modern urban living needs makes the proposal at 62 a practical and respectful development in the heart of the city.</t>
  </si>
  <si>
    <t>["i support the proposed planning application for 62. this development is notable for both preserving the site ' s rich history in furniture making and addressing the need for more housing in. the project has involved positive consultation with neighbors, ensuring community interests are considered. this balance of historical preservation with modern urban living needs makes the proposal at 62 a practical and respectful development in the heart of the city.", "the restoration of the historical facade of 62 is more than just an aesthetic improvement ; it is a powerful statement about valuing and revitalizing our cultural and architectural history. this thoughtful approach to development not only enhances the visual appeal of the area but also enriches the cultural tapestry of. it is a testament to the fact that modern development and historical preservation can coexist harmoniously, each contributing to the city ' s diverse and dynamic character.", "the decision to restore the facade and add an additional floor to this historic building at 62 is a commendable endeavor. this restoration not only preserves a crucial part of ' s architectural and cultural heritage but also revitalizes it for contemporary use. the respectful restoration of the facade pays homage to the site ' s rich history, honoring the legacy of and his contributions to the craft of furniture making."]</t>
  </si>
  <si>
    <t>['history', 'historical', 'look', 'aesthetic', 'architectural', 'heritage', 'cultural', 'commendable', 'past', 'culture']</t>
  </si>
  <si>
    <t>['history', '62', 'facade', 'historical', 'iranian', 'library', 'culture', 'city', 'restoration', 'architectural']</t>
  </si>
  <si>
    <t>34_history_62_facade_historical</t>
  </si>
  <si>
    <t>new homes are much needed in the area and this development would provide them. i note that some objectors would preserve the existing building because of its historic value. the need for homes is acute and so the benefit from historic preservation must be significant to justify a decision to refuse much needed new housing. there is no such justification in this case. just because something is old or rare, does not mean it should be preserved. although the existing building is perhaps old, even unusually old for, it is dilapidated and unremarkable, in fact i would describe it as ugly. in any case its true age is in doubt. an english heritage report ( see page 19 of https : / / historicengland. org. uk / research / results / reports / 7100 / nos58 - 62and98 - 104peckhamhighstreetsouthwarklondonse15 ) noted that in 1928 it had been " entirely modernised. " as a resident concerned about the housing crisis, i believe creating new housing would be a much greater benefit for our community than retaining this poor quality building because of its doubtful historic significance.</t>
  </si>
  <si>
    <t>- the viability assessment includes a 20 % landholders premium based on the current building. the building is currently vacant, so it is not clear to me why it is reasonable to assume that the landowner would need a 0. 8m inducement above its assessed market value to sell the property, especially considering that the property appears to have been bought for 1m less than the valuation price on 18 january 2022, assuming this information is the correct value : ( https : / / search - property - information. service. gov. uk / search / summary / eruorgex14a0ekwrfctvma = = / 6nth09unvmwsoi57 _ k9apg = = )</t>
  </si>
  <si>
    <t>in summary, the planning application for 62 is a well - considered proposal that effectively blends historical preservation with contemporary urban needs. the restoration of the facade honors an important part of ' s cultural history, while the addition of a new residential unit addresses current housing demands in. the positive neighbor consultation further enhances the value of this project, making it a commendable example of responsible and community - focused urban development.</t>
  </si>
  <si>
    <t>["in summary, the planning application for 62 is a well - considered proposal that effectively blends historical preservation with contemporary urban needs. the restoration of the facade honors an important part of ' s cultural history, while the addition of a new residential unit addresses current housing demands in. the positive neighbor consultation further enhances the value of this project, making it a commendable example of responsible and community - focused urban development.", '- the viability assessment includes a 20 % landholders premium based on the current building. the building is currently vacant, so it is not clear to me why it is reasonable to assume that the landowner would need a 0. 8m inducement above its assessed market value to sell the property, especially considering that the property appears to have been bought for 1m less than the valuation price on 18 january 2022, assuming this information is the correct value : ( https : / / search - property - information. service. gov. uk / search / summary / eruorgex14a0ekwrfctvma = = / 6nth09unvmwsoi57 _ k9apg = = )', 'new homes are much needed in the area and this development would provide them. i note that some objectors would preserve the existing building because of its historic value. the need for homes is acute and so the benefit from historic preservation must be significant to justify a decision to refuse much needed new housing. there is no such justification in this case. just because something is old or rare, does not mean it should be preserved. although the existing building is perhaps old, even unusually old for, it is dilapidated and unremarkable, in fact i would describe it as ugly. in any case its true age is in doubt. an english heritage report ( see page 19 of https : / / historicengland. org. uk / research / results / reports / 7100 / nos58 - 62and98 - 104peckhamhighstreetsouthwarklondonse15 ) noted that in 1928 it had been " entirely modernised. " as a resident concerned about the housing crisis, i believe creating new housing would be a much greater benefit for our community than retaining this poor quality building because of its doubtful historic significance.']</t>
  </si>
  <si>
    <t>['value', 'valuation', 'market', 'wealth', 'history', 'property', 'historic', 'historical', 'historicengland', 'commercial']</t>
  </si>
  <si>
    <t>['value', 'historical', 'its', 'building', 'case', 'search', 'competing', 'new', 'much', 'history']</t>
  </si>
  <si>
    <t>33_value_historical_its_building</t>
  </si>
  <si>
    <t>my objections are -</t>
  </si>
  <si>
    <t>we have no objections to the proposal.</t>
  </si>
  <si>
    <t>i have no objections to this planning permission. it all seems good.</t>
  </si>
  <si>
    <t>['i have no objections to this planning permission. it all seems good.', 'we have no objections to the proposal.', 'my objections are -']</t>
  </si>
  <si>
    <t>['objections', 'petition', 'comments', 'amendments', 'fraudulent', 'false', 'saying', 'wish', 'concerns', 'demonstrate']</t>
  </si>
  <si>
    <t>['objections', 'to', 'these', 'no', 'are', 'have', 'two', 'supply', 'all', 'subsidence']</t>
  </si>
  <si>
    <t>32_objections_to_these_no</t>
  </si>
  <si>
    <t>as far as i am aware, tenants have not been advised that the carpark which is currently present at the site is available for long - term use. neither the wem website nor the wem resident app advertise parking. indeed, the resident app stipulates that cars cannot park on the site other than for checking - in purposes and for deliveries. in my experience, both the developer and property manager have been fair and flexible regarding the use of the car park, as i was allowed to park for free whilst i sold my car. cars are inappropriate for london ; i have replaced my car with a small electric moped, and i also own a bicycle, and it is my understanding that these greener modes of transportation are unaffected by the absence of car parking. i firmly believe that the wembley point development should be car - free, with the exemption of blue badge holders. i am a car enthusiast, but i am sentient to the negative environmental impact of car use in london and beyond and the issue of congestion, which cannot be resolved through the acquisition of an electric car ( as cars are larger vehicles ). it is my opinion that residents at this development should be encouraged to use ( preferably electric ) mopeds / motorcycles, as well as bicycles,</t>
  </si>
  <si>
    <t>a block of flats would constitute a good precedent in renters allowing the opportunity of good housing and creating development potential to improve the economic, social and environmental condition of an area that not only can afford and accommodate this idea with its manifold of underused communal local amenities : ( a beautiful park with useful features and facilities ( ie little gym, play grounds and tennis courts,, great transport links into and a well serving variety of national and international super stores, mini stores, cafes, restaurants and retail outlets as well as an amusement park ), all within walking distance including tesco, tesco, etc ). it would make full use of the potential housing space available, provide a richer and more linear architectural outlook beautifying this corner and bringing a welcome innovation and change to renters uplifting its outmoded architectural standards, making it attractive to a more selective market. it would create architectural consistency with relating sympathetically to the existing 5 blocks of flats ( which are at the bottom of the roundabout in haley ) and closing the gap between the architectural designs of renters,, and its neighbouring streets all benefitting from countless beautiful innovations, extensions, blocks of flats and alterations. a block of flats would also create an excellent precedent for the lpa to implement effectively and without any restriction</t>
  </si>
  <si>
    <t>majority of new development ' s have parking on site and not off road. as the road has no parking restrictions ( eg resident permits ), many people park on / to use the tube station and are able to park their car free of charge each day.</t>
  </si>
  <si>
    <t>["majority of new development ' s have parking on site and not off road. as the road has no parking restrictions ( eg resident permits ), many people park on / to use the tube station and are able to park their car free of charge each day.", 'a block of flats would constitute a good precedent in renters allowing the opportunity of good housing and creating development potential to improve the economic, social and environmental condition of an area that not only can afford and accommodate this idea with its manifold of underused communal local amenities : ( a beautiful park with useful features and facilities ( ie little gym, play grounds and tennis courts,, great transport links into and a well serving variety of national and international super stores, mini stores, cafes, restaurants and retail outlets as well as an amusement park ), all within walking distance including tesco, tesco, etc ). it would make full use of the potential housing space available, provide a richer and more linear architectural outlook beautifying this corner and bringing a welcome innovation and change to renters uplifting its outmoded architectural standards, making it attractive to a more selective market. it would create architectural consistency with relating sympathetically to the existing 5 blocks of flats ( which are at the bottom of the roundabout in haley ) and closing the gap between the architectural designs of renters,, and its neighbouring streets all benefitting from countless beautiful innovations, extensions, blocks of flats and alterations. a block of flats would also create an excellent precedent for the lpa to implement effectively and without any restriction', 'as far as i am aware, tenants have not been advised that the carpark which is currently present at the site is available for long - term use. neither the wem website nor the wem resident app advertise parking. indeed, the resident app stipulates that cars cannot park on the site other than for checking - in purposes and for deliveries. in my experience, both the developer and property manager have been fair and flexible regarding the use of the car park, as i was allowed to park for free whilst i sold my car. cars are inappropriate for london ; i have replaced my car with a small electric moped, and i also own a bicycle, and it is my understanding that these greener modes of transportation are unaffected by the absence of car parking. i firmly believe that the wembley point development should be car - free, with the exemption of blue badge holders. i am a car enthusiast, but i am sentient to the negative environmental impact of car use in london and beyond and the issue of congestion, which cannot be resolved through the acquisition of an electric car ( as cars are larger vehicles ). it is my opinion that residents at this development should be encouraged to use ( preferably electric ) mopeds / motorcycles, as well as bicycles,']</t>
  </si>
  <si>
    <t>['park', 'school', 'parking', 'transport', 'car', 'traffic', 'cars', 'driveway', 'permits', 'vehicles']</t>
  </si>
  <si>
    <t>['park', 'car', 'parking', 'cars', 'road', 'on', 'tesco', 'spaces', 'is', 'one']</t>
  </si>
  <si>
    <t>31_park_car_parking_cars</t>
  </si>
  <si>
    <t>4. the provision of 23 homes ( including 36 % affordable housing ) will help to meet the demonstrable housing need in the borough. the scheme will provide a range of housing choices from one to three - bedroom properties, which will assist in creating a mixed and balanced community.</t>
  </si>
  <si>
    <t>in addition, the provision of 23 homes ( including 36 % affordable housing ) will assist in the effort to meet the demonstrable housing need in the borough. in order to achieve this, the scheme will provide a range of housing choices from one to three - bedroom properties, which will assist in creating a mixed and balanced community.</t>
  </si>
  <si>
    <t>['in addition, the provision of 23 homes ( including 36 % affordable housing ) will assist in the effort to meet the demonstrable housing need in the borough. in order to achieve this, the scheme will provide a range of housing choices from one to three - bedroom properties, which will assist in creating a mixed and balanced community.', '4. the provision of 23 homes ( including 36 % affordable housing ) will help to meet the demonstrable housing need in the borough. the scheme will provide a range of housing choices from one to three - bedroom properties, which will assist in creating a mixed and balanced community.', '4. the provision of 23 homes ( including 36 % affordable housing ) will help to meet the demonstrable housing need in the borough. the scheme will provide a range of housing choices from one to three - bedroom properties, which will assist in creating a mixed and balanced community.']</t>
  </si>
  <si>
    <t>['bedroom', 'family', 'affordable', 'mix', 'housing', 'rent', 'mixed', 'dwelling', 'single', 'social']</t>
  </si>
  <si>
    <t>['affordable', 'housing', 'mix', 'assist', 'homes', 'range', 'including', 'strategy', 'bedroom', 'family']</t>
  </si>
  <si>
    <t>30_affordable_housing_mix_assist</t>
  </si>
  <si>
    <t>as required by building regulations part h paragraph 2. 36, thames water requests that the applicant should incorporate within their proposal, protection to the property to prevent sewage flooding, by installing a positive pumped device ( or equivalent reflecting technological advances ), on the assumption that the sewerage network may surcharge to ground level during storm conditions. if as part of the basement development there is a proposal to discharge ground water to the public network, this would require a groundwater risk management permit from thames water. any discharge made without a permit is deemed illegal and may result in prosecution under the provisions of the water industry act 1991. we would expect the developer to demonstrate what measures will be undertaken to minimise groundwater discharges into the public sewer. permit enquiries should be directed to thames water ' s risk management team by telephoning 02035779483 or by emailing trade. effluent @. co. uk. application forms should be completed on line via www. thameswater. co. uk. please refer to the wholsesale ; business customers ; groundwater discharges section.</t>
  </si>
  <si>
    <t>['uk. application forms should be completed on line via www. thameswater. co. uk. please refer to the wholsesale ; business customers ; groundwater discharges section.', "as required by building regulations part h paragraph 2. 36, thames water requests that the applicant should incorporate within their proposal, protection to the property to prevent sewage flooding, by installing a positive pumped device ( or equivalent reflecting technological advances ), on the assumption that the sewerage network may surcharge to ground level during storm conditions. if as part of the basement development there is a proposal to discharge ground water to the public network, this would require a groundwater risk management permit from thames water. any discharge made without a permit is deemed illegal and may result in prosecution under the provisions of the water industry act 1991. we would expect the developer to demonstrate what measures will be undertaken to minimise groundwater discharges into the public sewer. permit enquiries should be directed to thames water ' s risk management team by telephoning 02035779483 or by emailing trade. effluent @. co. uk. application forms should be completed on line via www. thameswater. co. uk. please refer to the wholsesale ; business customers ; groundwater discharges section.", 'we would expect the developer to demonstrate what measures will be undertaken to minimise groundwater discharges into the public sewer. groundwater discharges typically result from construction site dewatering, deep excavations, basement infiltration, borehole installation, testing and site remediation. any discharge made without a permit is deemed illegal and may result in prosecution under the provisions of the water industry act 1991. should the local planning authority be minded to approve the planning application, thames water would like the following informative attached to the planning permission : " a groundwater risk management permit from thames water will be required for discharging groundwater into a public sewer. any discharge made without a permit is deemed illegal and may result in prosecution under the provisions of the water industry act 1991. we would expect the developer to demonstrate what measures he will undertake to minimise groundwater discharges into the public sewer. permit enquiries should be directed to thames water \' s risk management team by telephoning 020 3577 9483 or by emailing trade. effluent @ thameswater. co. uk. application forms should be completed on line via www. thameswater. co. uk. please refer to the wholsesale ; business customers ; groundwater discharges section.']</t>
  </si>
  <si>
    <t>['business', 'shops', 'trading', 'businesses', 'customers', 'industry', 'commercial', 'management', 'residential', 'permit']</t>
  </si>
  <si>
    <t>['business', 'groundwater', 'discharges', 'water', 'permit', 'local', 'thames', 'shops', 'uk', 'commercial']</t>
  </si>
  <si>
    <t>29_business_groundwater_discharges_water</t>
  </si>
  <si>
    <t>against the standards that apply more widely to in terms of the quality of the public realm, the quality of retail and commercial floor - space and the provision of residential accommodation, the application site currently falls far below what might be expected. this is especially so when you consider its proximity to the world class retail opportunities in, and, to the underground and stations in, to</t>
  </si>
  <si>
    <t>the scheme will modernise key part of this important gateway from the elizabeth with higher quality retail, leisure and office space as part of the vision for the transformation.</t>
  </si>
  <si>
    <t>the proposed scheme will also significantly improve the town centre creating a much improved sense of place and retail experience on the high street improving the ground floor offer for small businesses looking to lease floorspace in the town centre. we also welcome the reprovision of the public house which is an important community asset and is vital to the high street offer.</t>
  </si>
  <si>
    <t>['the proposed scheme will also significantly improve the town centre creating a much improved sense of place and retail experience on the high street improving the ground floor offer for small businesses looking to lease floorspace in the town centre. we also welcome the reprovision of the public house which is an important community asset and is vital to the high street offer.', 'the scheme will modernise key part of this important gateway from the elizabeth with higher quality retail, leisure and office space as part of the vision for the transformation.', 'against the standards that apply more widely to in terms of the quality of the public realm, the quality of retail and commercial floor - space and the provision of residential accommodation, the application site currently falls far below what might be expected. this is especially so when you consider its proximity to the world class retail opportunities in, and, to the underground and stations in, to']</t>
  </si>
  <si>
    <t>['retail', 'retailer', 'shop', 'shopfront', 'shopping', 'shops', 'store', 'stores', 'goods', 'grocery']</t>
  </si>
  <si>
    <t>['retail', 'shop', 'shopping', 'office', 'grocery', 'leisure', 'part', 'street', 'space', 'shopfront']</t>
  </si>
  <si>
    <t>28_retail_shop_shopping_office</t>
  </si>
  <si>
    <t>the proposal would bring a derelict site back into positive use which would benefit the area. the removal of the existing buildings would improve the visual appearance of the area as the buildings are in significant disrepair.</t>
  </si>
  <si>
    <t>i write to give full support to the above planning application. the proposal would bring a derelict site back into positive use which would benefit the area. the removal of the existing buildings would improve the visual appearance of the area as the buildings are in significant disrepair.</t>
  </si>
  <si>
    <t>the proposal would bring a derelict site back into positive use which would greatly benefit the area. the removal of the existing commercial ducts and window metal security grills would improve the visual appearance of the area as the buildings are in significant disrepair.</t>
  </si>
  <si>
    <t>['the proposal would bring a derelict site back into positive use which would greatly benefit the area. the removal of the existing commercial ducts and window metal security grills would improve the visual appearance of the area as the buildings are in significant disrepair.', 'i write to give full support to the above planning application. the proposal would bring a derelict site back into positive use which would benefit the area. the removal of the existing buildings would improve the visual appearance of the area as the buildings are in significant disrepair.', 'the proposal would bring a derelict site back into positive use which would benefit the area. the removal of the existing buildings would improve the visual appearance of the area as the buildings are in significant disrepair.']</t>
  </si>
  <si>
    <t>['visual', 'disrepair', 'design', 'character', 'look', 'ugly', 'appearance', 'eyesore', 'graffiti', 'attractiveness']</t>
  </si>
  <si>
    <t>['visual', 'maintenance', 'appearance', 'improve', 'disrepair', 'area', 'would', 'eyesore', 'the', 'of']</t>
  </si>
  <si>
    <t>27_visual_maintenance_appearance_improve</t>
  </si>
  <si>
    <t>the benefits from this development proposed. it would deliver an additional unit of housing, which is an objective of both local and national policy. the site is in a sustainable location. it would bring an active use to a vacant site that has been under separate ownership for more than 5 years. the proposed modern sustainable home will make a positive addition</t>
  </si>
  <si>
    <t>the benefits from this development proposed. it would deliver an additional unit of housing, which is an objective of both local and national policy. the is in a sustainable location. it would bring an active use to a vacant site that has been under separate ownership for more than 5 years. the proposed modern sustainable home will make a positive addition</t>
  </si>
  <si>
    <t>['the benefits from this development proposed. it would deliver an additional unit of housing, which is an objective of both local and national policy. the is in a sustainable location. it would bring an active use to a vacant site that has been under separate ownership for more than 5 years. the proposed modern sustainable home will make a positive addition', 'the benefits from this development proposed. it would deliver an additional unit of housing, which is an objective of both local and national policy. the is in a sustainable location. it would bring an active use to a vacant site that has been under separate ownership for more than 5 years. the proposed modern sustainable home will make a positive addition', 'the benefits from this development proposed. it would deliver an additional unit of housing, which is an objective of both local and national policy. the site is in a sustainable location. it would bring an active use to a vacant site that has been under separate ownership for more than 5 years. the proposed modern sustainable home will make a positive addition']</t>
  </si>
  <si>
    <t>['sustainable', 'climate', 'sustainability', 'environmentally', 'renewable', 'energy', 'housing', 'disposal', 'co', 'ownership']</t>
  </si>
  <si>
    <t>['sustainable', 'objective', 'an', 'location', 'active', 'national', 'vacant', 'deliver', 'policy', 'unit']</t>
  </si>
  <si>
    <t>26_sustainable_objective_an_location</t>
  </si>
  <si>
    <t>i will be supporting the demolition of a building that has come to the end of its useful life and replacing it with a new sustainable low carbon building.</t>
  </si>
  <si>
    <t>i support the demolition of the old building as its useful life has come to the end and see great potential with replacing it with a new sustainable low carbon building.</t>
  </si>
  <si>
    <t>hi there, i am strongly supporting the demolition of a building that has come to the end of its useful life and replacing it with a new sustainable low carbon building. this is exactly the kind of project we need more of and i very much hope this proposal is approved.</t>
  </si>
  <si>
    <t>['hi there, i am strongly supporting the demolition of a building that has come to the end of its useful life and replacing it with a new sustainable low carbon building. this is exactly the kind of project we need more of and i very much hope this proposal is approved.', 'i support the demolition of the old building as its useful life has come to the end and see great potential with replacing it with a new sustainable low carbon building.', 'i will be supporting the demolition of a building that has come to the end of its useful life and replacing it with a new sustainable low carbon building.']</t>
  </si>
  <si>
    <t>['carbon', 'sustainable', 'climate', 'environmentally', 'emissions', 'energy', 'global', 'approved', 'catastrophe', 'responsible']</t>
  </si>
  <si>
    <t>['carbon', 'climate', 'replacing', 'emissions', '69', 'building', 'sustainable', 'bath', 'regulations', 'low']</t>
  </si>
  <si>
    <t>25_carbon_climate_replacing_emissions</t>
  </si>
  <si>
    <t>school</t>
  </si>
  <si>
    <t>- there are repeated comments on vehicles having to reverse down the service road. i must point out that many use the same word ' reserving ', but they must mean ' reversing '. from my perspective, vehicles are always parked outside 14 / 13 park and this puts me off using the side alley as these vehicles cause an obstruction and create danger, and so i am forced to use the service road. thank goodness the proposed development provides all residents in with the opportunity to use the side alley without cars blocking it. furthermore, given the enhancements being suggested to the side alley, such as the improved lighting, i will feel much safer in using it and will do so if the proposed development goes ahead. if other residents feel the same way, then this has to be a major safety enhancement of the proposed development.</t>
  </si>
  <si>
    <t>["- there are repeated comments on vehicles having to reverse down the service road. i must point out that many use the same word ' reserving ', but they must mean ' reversing '. from my perspective, vehicles are always parked outside 14 / 13 park and this puts me off using the side alley as these vehicles cause an obstruction and create danger, and so i am forced to use the service road. thank goodness the proposed development provides all residents in with the opportunity to use the side alley without cars blocking it. furthermore, given the enhancements being suggested to the side alley, such as the improved lighting, i will feel much safer in using it and will do so if the proposed development goes ahead. if other residents feel the same way, then this has to be a major safety enhancement of the proposed development.", 'school', 'school']</t>
  </si>
  <si>
    <t>['school', 'park', 'gp', 'playground', 'kids', 'children', 'students', 'safety', 'nursery', 'surgery']</t>
  </si>
  <si>
    <t>['school', 'park', 'safety', 'nexus', 'nursery', 'being', 'staff', 'vehicles', 'alley', 'to']</t>
  </si>
  <si>
    <t>24_school_park_safety_nexus</t>
  </si>
  <si>
    <t>if were a country that had its priorities straight, ' s mounting homelessness crisis would be among its most pressing social issues. the capital has 60, 580 homeless households ( https : / / www. standard. co. uk / news / london / homeless - temporary - accommodation - england - housing - government - b1123898. html ), which include more than 80, 000 children, many of them preschoolers ( https : / / www. insidehousing. co. uk / insight / the - new - social - housing - data - shows - scale - of - infant - children - in - temporary - accommodation - 79462 ). there has been a staggering rise of about 70 % in the number of households in temporary accommodation since 2010. "</t>
  </si>
  <si>
    <t>i ' m incredibly surprised that people are attempting to block developments like these which are sensitive, small - scale and are directly for real people with real jobs, rather than overseas developers.</t>
  </si>
  <si>
    <t>["i ' m incredibly surprised that people are attempting to block developments like these which are sensitive, small - scale and are directly for real people with real jobs, rather than overseas developers.", "i ' m incredibly surprised that people are attempting to block developments like these which are sensitive, small - scale and are directly for real people with real jobs, rather than overseas developers.", 'if were a country that had its priorities straight, \' s mounting homelessness crisis would be among its most pressing social issues. the capital has 60, 580 homeless households ( https : / / www. standard. co. uk / news / london / homeless - temporary - accommodation - england - housing - government - b1123898. html ), which include more than 80, 000 children, many of them preschoolers ( https : / / www. insidehousing. co. uk / insight / the - new - social - housing - data - shows - scale - of - infant - children - in - temporary - accommodation - 79462 ). there has been a staggering rise of about 70 % in the number of households in temporary accommodation since 2010. "']</t>
  </si>
  <si>
    <t>['scale', 'height', 'tall', 'size', 'rise', 'small', 'disjointed', 'maximum', 'balance', 'increased']</t>
  </si>
  <si>
    <t>['scale', 'height', 'tall', 'workspaces', 'appears', 'small', 'real', 'in', 'of', 'buildings']</t>
  </si>
  <si>
    <t>23_scale_height_tall_workspaces</t>
  </si>
  <si>
    <t>" have a nice day, see you later " became familiar horror words to my mum, already living a subtracted life providing little for her to live off. then, one day mid january monday of 1999 my folks made the move to via n. circ. this rainy congested trail would prove the final arduousness before the lights came on and after reaching n2, they never looked back. the difference in both of them was immediately noticeable. fear and upset, stresses and strains, seemed to just fall away. suddenly i understood the importance of the move, in its imperative form. my mum began to enjoy the freedom and independence gifted her by the new one - level surroundings. she could roam and mingle and get involved, be included, really feel part of something ; whilst my dad could take a step back. daily life took on a thriving shapeliness and both began to flourish, living in place of simply existing. inevitably, any quality of life must meet change to ensure long - term sustainability which brings matters to the proposed reconfiguration of fairacres, scheduled for commencement next year. as a frequenter of faireacres, my parents ' home specifically, i became aware of just how important an issue broadened spaciousness, within</t>
  </si>
  <si>
    <t>residential density :</t>
  </si>
  <si>
    <t>as owner - occupiers of a flat in, we are in favour of the proposed development. we believe that more flats are needed in the local area, as many people are unable to buy or rent suitable places to live without financial support from their families. we would rather see increased density of housing in existing buildings than new homes being built on the green belt.</t>
  </si>
  <si>
    <t>['as owner - occupiers of a flat in, we are in favour of the proposed development. we believe that more flats are needed in the local area, as many people are unable to buy or rent suitable places to live without financial support from their families. we would rather see increased density of housing in existing buildings than new homes being built on the green belt.', 'residential density :', '" have a nice day, see you later " became familiar horror words to my mum, already living a subtracted life providing little for her to live off. then, one day mid january monday of 1999 my folks made the move to via n. circ. this rainy congested trail would prove the final arduousness before the lights came on and after reaching n2, they never looked back. the difference in both of them was immediately noticeable. fear and upset, stresses and strains, seemed to just fall away. suddenly i understood the importance of the move, in its imperative form. my mum began to enjoy the freedom and independence gifted her by the new one - level surroundings. she could roam and mingle and get involved, be included, really feel part of something ; whilst my dad could take a step back. daily life took on a thriving shapeliness and both began to flourish, living in place of simply existing. inevitably, any quality of life must meet change to ensure long - term sustainability which brings matters to the proposed reconfiguration of fairacres, scheduled for commencement next year. as a frequenter of faireacres, my parents \' home specifically, i became aware of just how important an issue broadened spaciousness, within']</t>
  </si>
  <si>
    <t>['density', 'overcrowding', 'congested', 'overdevelopment', 'dense', 'crowded', 'over', 'increase', 'per', 'increased']</t>
  </si>
  <si>
    <t>['density', 'overcrowding', 'crowded', 'congested', 'in', 'to', 'of', 'development', 'if', 'tenants']</t>
  </si>
  <si>
    <t>22_density_overcrowding_crowded_congested</t>
  </si>
  <si>
    <t>i support affordable housing</t>
  </si>
  <si>
    <t>more affordable housing will be good for the area</t>
  </si>
  <si>
    <t>affordable housing is good</t>
  </si>
  <si>
    <t>['affordable housing is good', 'more affordable housing will be good for the area', 'i support affordable housing']</t>
  </si>
  <si>
    <t>['affordable', 'incomes', 'rent', 'housing', 'homeownership', 'shortage', 'accommodation', 'offer', 'buy', 'pocket']</t>
  </si>
  <si>
    <t>['affordable', 'housing', 'homes', 'people', 'local', 'more', 'pocket', 'to', 'buyers', 'own']</t>
  </si>
  <si>
    <t>21_affordable_housing_homes_people</t>
  </si>
  <si>
    <t>this response is made as tfl railway infrastructure manager under the " town and country planning ( development management procedure ) order 2015 ". it therefore relates only to railway engineering and safety matters. other parts of tfl may have other comments in line with their own statutory responsibilities.</t>
  </si>
  <si>
    <t>['this response is made as tfl railway infrastructure manager under the " town and country planning ( development management procedure ) order 2015 ". it therefore relates only to railway engineering and safety matters. other parts of tfl may have other comments in line with their own statutory responsibilities.', 'this response is made as tfl railway infrastructure manager under the " town and country planning ( development management procedure ) order 2015 ". it therefore relates only to railway engineering and safety matters. other parts of tfl may have other comments in line with their own statutory responsibilities.', 'this response is made as railway infrastructure manager under the " town and country planning ( development management procedure ) order 2015 ". it therefore relates only to railway engineering and safety matters. other parts of tfl may have other comments in line with their own statutory responsibilities.']</t>
  </si>
  <si>
    <t>['safety', 'dangerous', 'pedestrian', 'safe', 'security', 'footpath', 'anti', 'use', 'housed', 'aircraft']</t>
  </si>
  <si>
    <t>['safety', 'dangerous', 'security', 'safe', 'pedestrian', 'tenants', 'railway', 'lighting', 'council', 'tfl']</t>
  </si>
  <si>
    <t>20_safety_dangerous_security_safe</t>
  </si>
  <si>
    <t>all bar one of the council notices went missing within days of being put up. the one remaining was crunched up so unreadable. if this is the lengths people will do to force this through then how can they be trusted to adhere to any regulations stipulated. when the current owners intially moved in materials were thrown over the golf course fence. council hedges were also illegally cut back for a better view too.</t>
  </si>
  <si>
    <t>it is generally understood that a significant reason for the refusal of the original application was the proximity of proposed residential accommodation to the adjacent railway track. however, investigations reveal that there are many other recent residential developments in that are in similar positions in relation to railways and that have been granted approval. the current local plan does state that " development will be supported if the adverse impact of noise is reduced to an acceptable level through the use of attenuation, distance, screening or layout / orientation, in accordance with london plan policy d14 ". a reading of the latest application indicates that the current proposals now take these considerations fully into account as well as the other relevant criteria set out in the plan. in view of all this, i and other local residents fully support the current application presented by lipman properties and strongly hope that planning will now grant approval for this much welcome new development.</t>
  </si>
  <si>
    <t>['it is generally understood that a significant reason for the refusal of the original application was the proximity of proposed residential accommodation to the adjacent railway track. however, investigations reveal that there are many other recent residential developments in that are in similar positions in relation to railways and that have been granted approval. the current local plan does state that " development will be supported if the adverse impact of noise is reduced to an acceptable level through the use of attenuation, distance, screening or layout / orientation, in accordance with london plan policy d14 ". a reading of the latest application indicates that the current proposals now take these considerations fully into account as well as the other relevant criteria set out in the plan. in view of all this, i and other local residents fully support the current application presented by lipman properties and strongly hope that planning will now grant approval for this much welcome new development.', 'all bar one of the council notices went missing within days of being put up. the one remaining was crunched up so unreadable. if this is the lengths people will do to force this through then how can they be trusted to adhere to any regulations stipulated. when the current owners intially moved in materials were thrown over the golf course fence. council hedges were also illegally cut back for a better view too.', 'all bar one of the council notices went missing within days of being put up. the one remaining was crunched up so unreadable. if this is the lengths people will do to force this through then how can they be trusted to adhere to any regulations stipulated. when the current owners intially moved in materials were thrown over the golf course fence. council hedges were also illegally cut back for a better view too.']</t>
  </si>
  <si>
    <t>['view', 'overlooking', 'privacy', 'notices', 'exposed', 'overlooked', 'security', 'bar', 'unreadable', 'missing']</t>
  </si>
  <si>
    <t>['view', 'overlooking', 'windows', 'privacy', 'current', 'dlr', 'the', 'wall', 'of', 'through']</t>
  </si>
  <si>
    <t>19_view_overlooking_windows_privacy</t>
  </si>
  <si>
    <t>there is a shortage of housing and this planning looks suitable for the area</t>
  </si>
  <si>
    <t>we need more homes there is a shortage</t>
  </si>
  <si>
    <t>has shortage of houses, we need more developments like this.</t>
  </si>
  <si>
    <t>['has shortage of houses, we need more developments like this.', 'we need more homes there is a shortage', 'there is a shortage of housing and this planning looks suitable for the area']</t>
  </si>
  <si>
    <t>['shortage', 'supply', 'logistics', 'need', 'housing', 'prices', 'support', 'accommodation', 'water', 'buy']</t>
  </si>
  <si>
    <t>['shortage', 'housing', 'supply', 'sites', 'there', 'plan', 'in', 'is', 'this', 'small']</t>
  </si>
  <si>
    <t>18_shortage_housing_supply_sites</t>
  </si>
  <si>
    <t>the design of both the buildings at and look good with plenty of outside space for residents and both buildings look like they fit within the wider plan for the regeneration of the area.</t>
  </si>
  <si>
    <t>['the design of both the buildings at and look good with plenty of outside space for residents and both buildings look like they fit within the wider plan for the regeneration of the area.', 'the design of both the buildings at and look good with plenty of outside space for residents and both buildings look like they fit within the wider plan for the regeneration of the area.', 'the design of both the buildings at and look good with plenty of outside space for residents and both buildings look like they fit within the wider plan for the regeneration of the area.']</t>
  </si>
  <si>
    <t>['design', 'look', 'looks', 'space', 'like', 'make', 'modern', 'fit', 'with', 'fits']</t>
  </si>
  <si>
    <t>['both', 'plenty', 'buildings', 'look', 'outside', 'wider', 'regeneration', 'good', 'fit', 'heights']</t>
  </si>
  <si>
    <t>17_both_plenty_buildings_look</t>
  </si>
  <si>
    <t>furthermore, the applicant ' s proactive engagement with the neighbors throughout the development process has been exemplary. such an inclusive approach is rare and commendable, fostering a sense of community and collaboration that is essential in urban development. their willingness to listen to and address the concerns and inputs of neighboring properties underscores a level of respect and consideration that is crucial for the success of any development project.</t>
  </si>
  <si>
    <t>the developer held a consultation meeting with us neighbours to update us on progress as we understand there is now a further consultation period, so we are writing in support and to express frustration at the way the planning system has so unfairly handled this application.</t>
  </si>
  <si>
    <t>it is also noteworthy that the applicant has actively engaged with neighbors throughout the development process. this positive consultation with the local community exemplifies a collaborative and inclusive approach to urban development. such engagement ensures that the project not only respects the historical importance of the site but also aligns with the needs and perspectives of those who live and work in the vicinity.</t>
  </si>
  <si>
    <t>['it is also noteworthy that the applicant has actively engaged with neighbors throughout the development process. this positive consultation with the local community exemplifies a collaborative and inclusive approach to urban development. such engagement ensures that the project not only respects the historical importance of the site but also aligns with the needs and perspectives of those who live and work in the vicinity.', 'the developer held a consultation meeting with us neighbours to update us on progress as we understand there is now a further consultation period, so we are writing in support and to express frustration at the way the planning system has so unfairly handled this application.', "furthermore, the applicant ' s proactive engagement with the neighbors throughout the development process has been exemplary. such an inclusive approach is rare and commendable, fostering a sense of community and collaboration that is essential in urban development. their willingness to listen to and address the concerns and inputs of neighboring properties underscores a level of respect and consideration that is crucial for the success of any development project."]</t>
  </si>
  <si>
    <t>['consultation', 'engagement', 'collaboration', 'consultant', 'engaged', 'neighbors', 'together', 'relationship', 'socialising', 'willingness']</t>
  </si>
  <si>
    <t>['consultation', 'engagement', 'together', 'collaboration', 'applicant', 'process', 'community', 'with', 'neighbours', 'approach']</t>
  </si>
  <si>
    <t>16_consultation_engagement_together_collaboration</t>
  </si>
  <si>
    <t>the quality of the living accommodation is very good</t>
  </si>
  <si>
    <t>it is a very good scheme that takes a low quality and unnecessarily large terrace house and instead will provide refurbished high quality well designed housing for professionals and families which currently has an unsustainable level of demand. the council has been struggling for many years and continues to struggle to provide accommodation to the current population that lives in and this is also preventing more people from moving to who have been desiring to do so for a long time as the numbers suggest. if something is not done to promote conversions such as this there will be an exodus by the new generations who cannot find accommodation and cannot afford the rent levels and definitely sale levels. this is a very bad situation for as over time investors and developers will also not invest in it and the housing stock will continue to worsen.</t>
  </si>
  <si>
    <t>i think this is a very good idea as good quality housing is required, in the close proximity, i have been managing the properties for a while i would like to see a residential redevelopment to support the local community, their is a similar development that has been completed on the corner of, nw11 ( one road away ). the general presence of this building uplifts the quality of the street and a similar development here would be ideal providing additional quality living accomodation.</t>
  </si>
  <si>
    <t>['i think this is a very good idea as good quality housing is required, in the close proximity, i have been managing the properties for a while i would like to see a residential redevelopment to support the local community, their is a similar development that has been completed on the corner of, nw11 ( one road away ). the general presence of this building uplifts the quality of the street and a similar development here would be ideal providing additional quality living accomodation.', 'it is a very good scheme that takes a low quality and unnecessarily large terrace house and instead will provide refurbished high quality well designed housing for professionals and families which currently has an unsustainable level of demand. the council has been struggling for many years and continues to struggle to provide accommodation to the current population that lives in and this is also preventing more people from moving to who have been desiring to do so for a long time as the numbers suggest. if something is not done to promote conversions such as this there will be an exodus by the new generations who cannot find accommodation and cannot afford the rent levels and definitely sale levels. this is a very bad situation for as over time investors and developers will also not invest in it and the housing stock will continue to worsen.', 'the quality of the living accommodation is very good']</t>
  </si>
  <si>
    <t>['quality', 'poor', 'demand', 'housing', 'accommodation', 'investors', 'application', 'homes', 'professionals', 'provide']</t>
  </si>
  <si>
    <t>['quality', 'housing', 'high', 'good', 'homes', 'accommodation', 'this', 'in', 'to', 'properties']</t>
  </si>
  <si>
    <t>15_quality_housing_high_good</t>
  </si>
  <si>
    <t>the current site is in disrepair and an eyesore within the local area. the proposals will modernise the site and deliver 260 much - needed new homes on a well - connected and sustainable brownfield site.</t>
  </si>
  <si>
    <t>['the current site is in disrepair and an eyesore within the local area. the proposals will modernise the site and deliver 260 much - needed new homes on a well - connected and sustainable brownfield site.', 'the current site is in disrepair and an eyesore within the local area. the proposals will modernise the site and deliver 260 much - needed new homes on a well - connected and sustainable brownfield site.', 'the current site is in disrepair and an eyesore within the local area. the proposals will modernise the site and deliver 260 much - needed new homes on a well - connected and sustainable brownfield site.']</t>
  </si>
  <si>
    <t>['eyesore', 'ugly', 'eyesight', 'disrepair', 'sustainable', 'decayed', 'looks', 'decays', 'rodents', 'deteriorate']</t>
  </si>
  <si>
    <t>['eyesore', 'site', 'ugly', '260', 'an', 'disrepair', 'current', 'modernise', 'connected', 'brownfield']</t>
  </si>
  <si>
    <t>14_eyesore_site_ugly_260</t>
  </si>
  <si>
    <t>in regards to the issue of noise within daytime hours for a definite period of time is better than the noise we currently from the current site is often noisy and doesn ' t keep to daytime hours.</t>
  </si>
  <si>
    <t>our only request would be that, during the renovation works, the owners be mindful that noise currently travels too easily between the two houses - in particular on the top and 2nd floors - and that they install more than basic levels of noise insulation.</t>
  </si>
  <si>
    <t>['our only request would be that, during the renovation works, the owners be mindful that noise currently travels too easily between the two houses - in particular on the top and 2nd floors - and that they install more than basic levels of noise insulation.', "in regards to the issue of noise within daytime hours for a definite period of time is better than the noise we currently from the current site is often noisy and doesn ' t keep to daytime hours.", '- the choice of red zinc for the roofs is unusual for housing and could be reconsidered. zinc sheets do not relate to local housing styles but more to the recent undesirable industrial units on the site now being removed. the older historical industrial buildings have slate roofs. relative to roof tiles or slates, zinc sheets may be more difficult for residents to maintain, and often create internal noise transmission problems when it rains unless properly sealed with acoustic insulation.']</t>
  </si>
  <si>
    <t>['noise', 'loudspeakers', 'soundproofing', 'sound', 'loud', 'noisy', 'acoustic', 'vibration', 'music', 'nervous']</t>
  </si>
  <si>
    <t>['noise', 'noisy', 'sound', 'zinc', 'acoustic', 'insulation', 'comes', 'sheets', 'works', 'himself']</t>
  </si>
  <si>
    <t>13_noise_noisy_sound_zinc</t>
  </si>
  <si>
    <t>discussions have been had with the developers and a draft agreement has been made. if the agreement is implemented with the amendments that have been discussed and agreed upon on the 11th october 2023, this would be satisfactory.</t>
  </si>
  <si>
    <t>having attended the open evening at the community in a few months ago, seeing the information, and speaking to your consultants, i felt very happy that this building has a secure and meaningful future. obviously it would be lovely to see the building restored exactly as it was in the 1930s, but that is not realistic. as such putting it to good use for the public, in such a way that it will be economically viable makes total sense. as long as the notable parts of the original building frontage and interior are looked after, to me that is the main thing. my only concerns are any jarring contrasts in building styles, between the old and the new. i also feel that the building should be durable, and not suffer from the common issue of decay that some many modern buildings have.</t>
  </si>
  <si>
    <t>106 agreement. once the section 106 agreement has been signed, the final</t>
  </si>
  <si>
    <t>['106 agreement. once the section 106 agreement has been signed, the final', 'having attended the open evening at the community in a few months ago, seeing the information, and speaking to your consultants, i felt very happy that this building has a secure and meaningful future. obviously it would be lovely to see the building restored exactly as it was in the 1930s, but that is not realistic. as such putting it to good use for the public, in such a way that it will be economically viable makes total sense. as long as the notable parts of the original building frontage and interior are looked after, to me that is the main thing. my only concerns are any jarring contrasts in building styles, between the old and the new. i also feel that the building should be durable, and not suffer from the common issue of decay that some many modern buildings have.', 'discussions have been had with the developers and a draft agreement has been made. if the agreement is implemented with the amendments that have been discussed and agreed upon on the 11th october 2023, this would be satisfactory.']</t>
  </si>
  <si>
    <t>['secure', 'securing', 'agreement', 'security', 'trust', 'consent', 'purchaser', 'diplomatic', 'colluded', 'peacefully']</t>
  </si>
  <si>
    <t>['agreement', 'secure', 'security', 'almshouse', '106', 'courts', 'to', 'subject', 'satisfactory', 'intend']</t>
  </si>
  <si>
    <t>12_agreement_secure_security_almshouse</t>
  </si>
  <si>
    <t>this application should be approved.</t>
  </si>
  <si>
    <t>this should be approved.</t>
  </si>
  <si>
    <t>this application should be supported and approved.</t>
  </si>
  <si>
    <t>['this application should be supported and approved.', 'this should be approved.', 'this application should be approved.']</t>
  </si>
  <si>
    <t>['approved', 'supported', 'accepting', 'proposal', 'council', 'authority', 'revised', 'civic', '35a', 'should']</t>
  </si>
  <si>
    <t>['approved', 'should', 'application', 'be', 'operator', 'shall', 'supported', 'if', 'proposal', 'hope']</t>
  </si>
  <si>
    <t>11_approved_should_application_be</t>
  </si>
  <si>
    <t>i support the new development as the old bin store, located on the site, is not fit for purpose due inconsiderate tenants and fly tippers who continually dump household waste, old furniture and large appliances in and around the bin store. i believe this due to the bin store being located in a quiet and remote part of the estate which attracts this antisocial behaviour. the old bin store is a health hazard infested with mice, rats and other vermin. replacing the old bin store with new housing is much better use of the land and will improve that part of the estate immeasurably. i say that as a resident who lives in the same courtyard as the proposed development. the old bin store is not needed as there is a new and better bin store built in another part of the estate which residents are now using.</t>
  </si>
  <si>
    <t>i am delighted that the bin store will provide residents with a designated area for rubbish and recycling. currently there is a major health risk at as rubbish is scattered and left on the service road. indeed, there is a rat manifestation as a result of this rubbish. furthermore, the rubbish also causes more safety risks for residents as it represents an additional obstruction to them whilst navigating the vehicles on the service road</t>
  </si>
  <si>
    <t>currently, many of the neighbours have been using this garage and its driveway as a dumping ground for their own rubbish which is encouraging fly tippers to do the same. it won ' t be long before rats or mice become a norm if this continues. if the site is developed into a residential home, people will stop dumping their rubbish in the driveway and in the back garden. i have seen people dump refrigerators, bags of clothes, empty glass beer bottles and drinks cans and garden rubbish. the dumping of such materials in a residential area along a school route is not a pleasant sight and does nothing to improve the neighbourhood.</t>
  </si>
  <si>
    <t>["currently, many of the neighbours have been using this garage and its driveway as a dumping ground for their own rubbish which is encouraging fly tippers to do the same. it won ' t be long before rats or mice become a norm if this continues. if the site is developed into a residential home, people will stop dumping their rubbish in the driveway and in the back garden. i have seen people dump refrigerators, bags of clothes, empty glass beer bottles and drinks cans and garden rubbish. the dumping of such materials in a residential area along a school route is not a pleasant sight and does nothing to improve the neighbourhood.", 'i am delighted that the bin store will provide residents with a designated area for rubbish and recycling. currently there is a major health risk at as rubbish is scattered and left on the service road. indeed, there is a rat manifestation as a result of this rubbish. furthermore, the rubbish also causes more safety risks for residents as it represents an additional obstruction to them whilst navigating the vehicles on the service road', 'i support the new development as the old bin store, located on the site, is not fit for purpose due inconsiderate tenants and fly tippers who continually dump household waste, old furniture and large appliances in and around the bin store. i believe this due to the bin store being located in a quiet and remote part of the estate which attracts this antisocial behaviour. the old bin store is a health hazard infested with mice, rats and other vermin. replacing the old bin store with new housing is much better use of the land and will improve that part of the estate immeasurably. i say that as a resident who lives in the same courtyard as the proposed development. the old bin store is not needed as there is a new and better bin store built in another part of the estate which residents are now using.']</t>
  </si>
  <si>
    <t>['bin', 'rubbish', 'waste', 'bins', 'dump', 'recycling', 'collection', 'refuse', 'dumping', 'vermin']</t>
  </si>
  <si>
    <t>['rubbish', 'waste', 'bin', 'bins', 'recycling', 'dumping', 'store', 'fly', 'land', 'is']</t>
  </si>
  <si>
    <t>10_rubbish_waste_bin_bins</t>
  </si>
  <si>
    <t>the tiferes yisroel community provides essential services in education, prayer, charity, welfare and social activity</t>
  </si>
  <si>
    <t>['the tiferes yisroel community provides essential services in education, prayer, charity, welfare and social activity', 'the tiferes yisroel community provides essential services in education, prayer, charity, welfare and social activity', 'the tiferes yisroel community provides essential services in education, prayer, charity, welfare and social activity']</t>
  </si>
  <si>
    <t>['prayer', 'charity', 'religious', 'services', 'serving', 'socialise', 'provides', 'welfare', 'carers', 'care']</t>
  </si>
  <si>
    <t>['prayer', 'welfare', 'education', 'activity', 'yisroel', 'services', 'essential', 'tiferes', 'charity', 'provides']</t>
  </si>
  <si>
    <t>9_prayer_welfare_education_activity</t>
  </si>
  <si>
    <t>i support the proposals at and at and the intention to build pocket discounted homes for local first - time buyers in. these developments will help people like me, especially the proposed homes at which would only be available to local people and will be sold at a discount of 20 %. i also support the delivery of much needed social rented homes at, which will make good use of a currently empty office building site.</t>
  </si>
  <si>
    <t>['i support the proposals at and at and the intention to build pocket discounted homes for local first - time buyers in. these developments will help people like me, especially the proposed homes at which would only be available to local people and will be sold at a discount of 20 %. i also support the delivery of much needed social rented homes at, which will make good use of a currently empty office building site.', 'i support the proposals at and at and the intention to build pocket discounted homes for local first - time buyers in. these developments will help people like me, especially the proposed homes at which would only be available to local people and will be sold at a discount of 20 %. i also support the delivery of much needed social rented homes at, which will make good use of a currently empty office building site.', 'i support the proposals at and at and the intention to build pocket discounted homes for local first - time buyers in. these developments will help people like me, especially the proposed homes at which would only be available to local people and will be sold at a discount of 20 %. i also support the delivery of much needed social rented homes at, which will make good use of a currently empty office building site.']</t>
  </si>
  <si>
    <t>['social', 'incomes', 'rented', 'home', 'discount', 'homes', 'own', 'joint', 'paid', 'pocket']</t>
  </si>
  <si>
    <t>['rented', 'homes', 'at', 'people', 'social', 'enabling', 'alongside', 'discounted', 'intention', 'moderate']</t>
  </si>
  <si>
    <t>8_rented_homes_at_people</t>
  </si>
  <si>
    <t>i am next door neighbour and i am strongly supporting this well thought and well designed project. as i a neighbour i write to give full support to the above planning application.</t>
  </si>
  <si>
    <t>i strongly support this application as a neighbour.</t>
  </si>
  <si>
    <t>i am a neighbour, [ redacted ]</t>
  </si>
  <si>
    <t>['i am a neighbour, [ redacted ]', 'i strongly support this application as a neighbour.', 'i am next door neighbour and i am strongly supporting this well thought and well designed project. as i a neighbour i write to give full support to the above planning application.']</t>
  </si>
  <si>
    <t>['neighbour', 'campaigning', 'consultee', 'liaising', 'supporting', 'hamedrash', 'door', 'conducting', 'considerate', 'cientonove']</t>
  </si>
  <si>
    <t>['neighbour', 'am', 'as', 'project', 'this', 'reasons', 'proposed', 'support', 'appreciate', '21']</t>
  </si>
  <si>
    <t>7_neighbour_am_as_project</t>
  </si>
  <si>
    <t>dear,</t>
  </si>
  <si>
    <t>['dear,', 'dear,', 'dear,']</t>
  </si>
  <si>
    <t>['dear', 'hello', '', '', '', '', '', '', '', '']</t>
  </si>
  <si>
    <t>['dear', 'ms', 'hello', 'officer', 'all', 'and', '', '', '', '']</t>
  </si>
  <si>
    <t>6_dear_ms_hello_officer</t>
  </si>
  <si>
    <t>thanks,</t>
  </si>
  <si>
    <t>thanks</t>
  </si>
  <si>
    <t>['thanks', 'thanks,', 'thanks,']</t>
  </si>
  <si>
    <t>['thanks', 'thank', 'thankyou', 'amazing', 'appreciated', 'done', '', '', '', '']</t>
  </si>
  <si>
    <t>['thanks', 'thank', 'you', 'many', 'bless', 'thankyou', 'appreciated', 'much', 'amazing', 'done']</t>
  </si>
  <si>
    <t>5_thanks_thank_you_many</t>
  </si>
  <si>
    <t>kind regards.</t>
  </si>
  <si>
    <t>['kind regards,', 'kind regards.', 'kind regards,']</t>
  </si>
  <si>
    <t>['regards', 'kind', '', '', '', '', '', '', '', '']</t>
  </si>
  <si>
    <t>['kind', 'regards', '', '', '', '', '', '', '', '']</t>
  </si>
  <si>
    <t>4_kind_regards__</t>
  </si>
  <si>
    <t>['kind regards', 'kind regards', 'kind regards']</t>
  </si>
  <si>
    <t>3_kind_regards__</t>
  </si>
  <si>
    <t>['available', '', '', '', '', '', '', '', '', '']</t>
  </si>
  <si>
    <t>['available', 'not', '', '', '', '', '', '', '', '']</t>
  </si>
  <si>
    <t>2_available_not__</t>
  </si>
  <si>
    <t>['yours sincerely,', 'yours sincerely,', 'yours sincerely,']</t>
  </si>
  <si>
    <t>['yours', 'sincerely', 'your', 'faithfully', 'phillips', 'truly', 'very', '', '', '']</t>
  </si>
  <si>
    <t>['yours', 'sincerely', 'faithfully', 'your', 'phillips', 'truly', 'very', '', '', '']</t>
  </si>
  <si>
    <t>1_yours_sincerely_faithfully_your</t>
  </si>
  <si>
    <t>['dear sir / madam,', 'dear sir / madam', 'dear sir / madam,']</t>
  </si>
  <si>
    <t>['dear', 'madam', 'sir', 'sirs', 'hi', '', '', '', '', '']</t>
  </si>
  <si>
    <t>['sir', 'madam', 'dear', 'sirs', 'or', 'hi', '', '', '', '']</t>
  </si>
  <si>
    <t>0_sir_madam_dear_sirs</t>
  </si>
  <si>
    <t>i am writing as a resident in support of pocket living ' s proposal for. there is a desperate need for new housing of all types and this seems like a good solution for a site which has been derelict for many years. there are many young people in the borough who want the opportunity to buy their first home and this is one way of achieving it. i would ask the planning committee to support this application.</t>
  </si>
  <si>
    <t>as a local resident who walks past this corner site twice every day to and from work, i would like to write a letter of support as overall i like the architects design and i feel it will benefit the area. i am pleased to see family sized flats within the scheme and there seems to be plenty of outdoor space being provided for future residents. i think the proposal includes the retention of the two large trees which is good to see. although there seems to be a lot of building works going on in the area which will cause me disturbance for a period of time. in the long term it will inevitably help the area. on balance, i support this application.</t>
  </si>
  <si>
    <t>house prices in are completely unaffordable for local people living and working in the area. not only would these pocket homes represent a great use of space, so close to, but the 20 % discount would offer an opportunity for local people, such as myself, to own a home and stay within the community we are associated with.</t>
  </si>
  <si>
    <t>['house prices in are completely unaffordable for local people living and working in the area. not only would these pocket homes represent a great use of space, so close to, but the 20 % discount would offer an opportunity for local people, such as myself, to own a home and stay within the community we are associated with.', 'as a local resident who walks past this corner site twice every day to and from work, i would like to write a letter of support as overall i like the architects design and i feel it will benefit the area. i am pleased to see family sized flats within the scheme and there seems to be plenty of outdoor space being provided for future residents. i think the proposal includes the retention of the two large trees which is good to see. although there seems to be a lot of building works going on in the area which will cause me disturbance for a period of time. in the long term it will inevitably help the area. on balance, i support this application.', "i am writing as a resident in support of pocket living ' s proposal for. there is a desperate need for new housing of all types and this seems like a good solution for a site which has been derelict for many years. there are many young people in the borough who want the opportunity to buy their first home and this is one way of achieving it. i would ask the planning committee to support this application."]</t>
  </si>
  <si>
    <t>['housing', 'house', 'homes', 'residential', 'home', 'own', 'living', 'property', 'live', 'residents']</t>
  </si>
  <si>
    <t>['to', 'the', 'and', 'of', 'this', 'in', 'for', 'have', 'support', 'is']</t>
  </si>
  <si>
    <t>-1_to_the_and_of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</si>
</sst>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7" fillId="3" borderId="0" xfId="7"/>
    <xf numFmtId="0" fontId="6" fillId="2" borderId="0" xfId="6"/>
    <xf numFmtId="0" fontId="8" fillId="4" borderId="0" xfId="8"/>
    <xf numFmtId="0" fontId="11" fillId="6" borderId="4" xfId="11"/>
    <xf numFmtId="0" fontId="1" fillId="26" borderId="0" xfId="35"/>
    <xf numFmtId="0" fontId="1" fillId="22" borderId="0" xfId="31"/>
    <xf numFmtId="0" fontId="1" fillId="14" borderId="0" xfId="23"/>
    <xf numFmtId="0" fontId="1" fillId="12" borderId="0" xfId="21"/>
    <xf numFmtId="0" fontId="1" fillId="32" borderId="0" xfId="4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C98A2-2ADC-9A46-BB6B-941F4A2D513A}">
  <dimension ref="A1:F101"/>
  <sheetViews>
    <sheetView tabSelected="1" zoomScale="134" workbookViewId="0">
      <selection activeCell="B88" sqref="B88"/>
    </sheetView>
  </sheetViews>
  <sheetFormatPr baseColWidth="10" defaultRowHeight="16" x14ac:dyDescent="0.2"/>
  <cols>
    <col min="3" max="3" width="46.6640625" customWidth="1"/>
    <col min="4" max="4" width="77.1640625" customWidth="1"/>
  </cols>
  <sheetData>
    <row r="1" spans="1:6" x14ac:dyDescent="0.2">
      <c r="A1" t="s">
        <v>0</v>
      </c>
      <c r="B1" t="s">
        <v>1</v>
      </c>
      <c r="C1" t="s">
        <v>2</v>
      </c>
      <c r="D1" t="s">
        <v>7</v>
      </c>
      <c r="E1" t="s">
        <v>8</v>
      </c>
      <c r="F1" t="s">
        <v>9</v>
      </c>
    </row>
    <row r="2" spans="1:6" s="1" customFormat="1" x14ac:dyDescent="0.2">
      <c r="A2" s="1">
        <v>-1</v>
      </c>
      <c r="B2" s="1">
        <v>38355</v>
      </c>
      <c r="C2" s="1" t="s">
        <v>10</v>
      </c>
      <c r="D2" s="1" t="s">
        <v>11</v>
      </c>
      <c r="E2" s="1" t="s">
        <v>12</v>
      </c>
      <c r="F2" s="1" t="s">
        <v>13</v>
      </c>
    </row>
    <row r="3" spans="1:6" s="1" customFormat="1" x14ac:dyDescent="0.2">
      <c r="A3" s="1">
        <v>0</v>
      </c>
      <c r="B3" s="1">
        <v>14746</v>
      </c>
      <c r="C3" s="1" t="s">
        <v>14</v>
      </c>
      <c r="D3" s="1" t="s">
        <v>15</v>
      </c>
      <c r="E3" s="1" t="s">
        <v>16</v>
      </c>
      <c r="F3" s="1" t="s">
        <v>17</v>
      </c>
    </row>
    <row r="4" spans="1:6" s="2" customFormat="1" x14ac:dyDescent="0.2">
      <c r="A4" s="2">
        <v>1</v>
      </c>
      <c r="B4" s="2">
        <v>7481</v>
      </c>
      <c r="C4" s="2" t="s">
        <v>18</v>
      </c>
      <c r="D4" s="2" t="s">
        <v>19</v>
      </c>
      <c r="E4" s="2" t="s">
        <v>20</v>
      </c>
      <c r="F4" s="2" t="s">
        <v>21</v>
      </c>
    </row>
    <row r="5" spans="1:6" s="3" customFormat="1" x14ac:dyDescent="0.2">
      <c r="A5" s="3">
        <v>2</v>
      </c>
      <c r="B5" s="3">
        <v>7004</v>
      </c>
      <c r="C5" s="3" t="s">
        <v>22</v>
      </c>
      <c r="D5" s="3" t="s">
        <v>23</v>
      </c>
      <c r="E5" s="3" t="s">
        <v>24</v>
      </c>
      <c r="F5" s="3" t="s">
        <v>25</v>
      </c>
    </row>
    <row r="6" spans="1:6" s="8" customFormat="1" x14ac:dyDescent="0.2">
      <c r="A6" s="8">
        <v>3</v>
      </c>
      <c r="B6" s="8">
        <v>6644</v>
      </c>
      <c r="C6" s="8" t="s">
        <v>26</v>
      </c>
      <c r="D6" s="8" t="s">
        <v>27</v>
      </c>
      <c r="E6" s="8" t="s">
        <v>28</v>
      </c>
      <c r="F6" s="8" t="s">
        <v>29</v>
      </c>
    </row>
    <row r="7" spans="1:6" x14ac:dyDescent="0.2">
      <c r="A7">
        <v>4</v>
      </c>
      <c r="B7">
        <v>4212</v>
      </c>
      <c r="C7" t="s">
        <v>30</v>
      </c>
      <c r="D7" t="s">
        <v>31</v>
      </c>
      <c r="E7" t="s">
        <v>32</v>
      </c>
      <c r="F7" t="s">
        <v>33</v>
      </c>
    </row>
    <row r="8" spans="1:6" s="6" customFormat="1" x14ac:dyDescent="0.2">
      <c r="A8" s="6">
        <v>5</v>
      </c>
      <c r="B8" s="6">
        <v>4029</v>
      </c>
      <c r="C8" s="6" t="s">
        <v>34</v>
      </c>
      <c r="D8" s="6" t="s">
        <v>35</v>
      </c>
      <c r="E8" s="6" t="e">
        <f>- the height of the proposed development is not in keeping with the surrounding buildings</f>
        <v>#NAME?</v>
      </c>
      <c r="F8" s="6" t="s">
        <v>36</v>
      </c>
    </row>
    <row r="9" spans="1:6" x14ac:dyDescent="0.2">
      <c r="A9">
        <v>6</v>
      </c>
      <c r="B9">
        <v>3984</v>
      </c>
      <c r="C9" t="s">
        <v>37</v>
      </c>
      <c r="D9" t="e">
        <f>- impact on the residential amenity to neighbouring properties</f>
        <v>#NAME?</v>
      </c>
      <c r="E9" t="s">
        <v>38</v>
      </c>
      <c r="F9" t="s">
        <v>39</v>
      </c>
    </row>
    <row r="10" spans="1:6" s="3" customFormat="1" x14ac:dyDescent="0.2">
      <c r="A10" s="3">
        <v>7</v>
      </c>
      <c r="B10" s="3">
        <v>3859</v>
      </c>
      <c r="C10" s="3" t="s">
        <v>40</v>
      </c>
      <c r="D10" s="3" t="s">
        <v>41</v>
      </c>
      <c r="E10" s="3" t="s">
        <v>42</v>
      </c>
      <c r="F10" s="3" t="s">
        <v>43</v>
      </c>
    </row>
    <row r="11" spans="1:6" s="7" customFormat="1" x14ac:dyDescent="0.2">
      <c r="A11" s="7">
        <v>8</v>
      </c>
      <c r="B11" s="7">
        <v>3469</v>
      </c>
      <c r="C11" s="7" t="s">
        <v>44</v>
      </c>
      <c r="D11" s="7" t="s">
        <v>45</v>
      </c>
      <c r="E11" s="7" t="s">
        <v>46</v>
      </c>
      <c r="F11" s="7" t="s">
        <v>47</v>
      </c>
    </row>
    <row r="12" spans="1:6" x14ac:dyDescent="0.2">
      <c r="A12">
        <v>9</v>
      </c>
      <c r="B12">
        <v>3363</v>
      </c>
      <c r="C12" t="s">
        <v>48</v>
      </c>
      <c r="D12" t="s">
        <v>49</v>
      </c>
      <c r="E12" t="s">
        <v>50</v>
      </c>
      <c r="F12" t="s">
        <v>51</v>
      </c>
    </row>
    <row r="13" spans="1:6" s="1" customFormat="1" x14ac:dyDescent="0.2">
      <c r="A13" s="1">
        <v>10</v>
      </c>
      <c r="B13" s="1">
        <v>2890</v>
      </c>
      <c r="C13" s="1" t="s">
        <v>52</v>
      </c>
      <c r="D13" s="1" t="s">
        <v>53</v>
      </c>
      <c r="E13" s="1" t="s">
        <v>53</v>
      </c>
      <c r="F13" s="1" t="s">
        <v>54</v>
      </c>
    </row>
    <row r="14" spans="1:6" s="9" customFormat="1" x14ac:dyDescent="0.2">
      <c r="A14" s="9">
        <v>11</v>
      </c>
      <c r="B14" s="9">
        <v>2667</v>
      </c>
      <c r="C14" s="9" t="s">
        <v>55</v>
      </c>
      <c r="D14" s="9" t="s">
        <v>56</v>
      </c>
      <c r="E14" s="9" t="s">
        <v>57</v>
      </c>
      <c r="F14" s="9" t="s">
        <v>57</v>
      </c>
    </row>
    <row r="15" spans="1:6" x14ac:dyDescent="0.2">
      <c r="A15">
        <v>12</v>
      </c>
      <c r="B15">
        <v>2644</v>
      </c>
      <c r="C15" t="s">
        <v>58</v>
      </c>
      <c r="D15" t="s">
        <v>59</v>
      </c>
      <c r="E15" t="s">
        <v>60</v>
      </c>
      <c r="F15" t="s">
        <v>61</v>
      </c>
    </row>
    <row r="16" spans="1:6" s="5" customFormat="1" x14ac:dyDescent="0.2">
      <c r="A16" s="5">
        <v>13</v>
      </c>
      <c r="B16" s="5">
        <v>2444</v>
      </c>
      <c r="C16" s="5" t="s">
        <v>62</v>
      </c>
      <c r="D16" s="5" t="s">
        <v>63</v>
      </c>
      <c r="E16" s="5" t="s">
        <v>64</v>
      </c>
      <c r="F16" s="5" t="s">
        <v>65</v>
      </c>
    </row>
    <row r="17" spans="1:6" x14ac:dyDescent="0.2">
      <c r="A17">
        <v>14</v>
      </c>
      <c r="B17">
        <v>2319</v>
      </c>
      <c r="C17" t="s">
        <v>66</v>
      </c>
      <c r="D17" t="s">
        <v>67</v>
      </c>
      <c r="E17" t="s">
        <v>68</v>
      </c>
      <c r="F17" t="s">
        <v>68</v>
      </c>
    </row>
    <row r="18" spans="1:6" x14ac:dyDescent="0.2">
      <c r="A18">
        <v>15</v>
      </c>
      <c r="B18">
        <v>2060</v>
      </c>
      <c r="C18" t="s">
        <v>69</v>
      </c>
      <c r="D18" t="s">
        <v>70</v>
      </c>
      <c r="E18" t="s">
        <v>71</v>
      </c>
      <c r="F18" t="s">
        <v>72</v>
      </c>
    </row>
    <row r="19" spans="1:6" s="1" customFormat="1" x14ac:dyDescent="0.2">
      <c r="A19" s="1">
        <v>16</v>
      </c>
      <c r="B19" s="1">
        <v>1732</v>
      </c>
      <c r="C19" s="1" t="s">
        <v>73</v>
      </c>
      <c r="D19" s="1" t="s">
        <v>74</v>
      </c>
      <c r="E19" s="1" t="s">
        <v>74</v>
      </c>
      <c r="F19" s="1" t="s">
        <v>74</v>
      </c>
    </row>
    <row r="20" spans="1:6" x14ac:dyDescent="0.2">
      <c r="A20">
        <v>17</v>
      </c>
      <c r="B20">
        <v>1344</v>
      </c>
      <c r="C20" t="s">
        <v>75</v>
      </c>
      <c r="D20" t="s">
        <v>76</v>
      </c>
      <c r="E20" t="s">
        <v>77</v>
      </c>
      <c r="F20" t="s">
        <v>78</v>
      </c>
    </row>
    <row r="21" spans="1:6" s="4" customFormat="1" x14ac:dyDescent="0.2">
      <c r="A21" s="4">
        <v>18</v>
      </c>
      <c r="B21" s="4">
        <v>1333</v>
      </c>
      <c r="C21" s="4" t="s">
        <v>79</v>
      </c>
      <c r="D21" s="4" t="s">
        <v>80</v>
      </c>
      <c r="E21" s="4" t="s">
        <v>81</v>
      </c>
      <c r="F21" s="4" t="s">
        <v>82</v>
      </c>
    </row>
    <row r="22" spans="1:6" x14ac:dyDescent="0.2">
      <c r="A22">
        <v>19</v>
      </c>
      <c r="B22">
        <v>1189</v>
      </c>
      <c r="C22" t="s">
        <v>83</v>
      </c>
      <c r="D22" t="s">
        <v>84</v>
      </c>
      <c r="E22" t="s">
        <v>85</v>
      </c>
      <c r="F22" t="s">
        <v>86</v>
      </c>
    </row>
    <row r="23" spans="1:6" x14ac:dyDescent="0.2">
      <c r="A23">
        <v>20</v>
      </c>
      <c r="B23">
        <v>1094</v>
      </c>
      <c r="C23" t="s">
        <v>87</v>
      </c>
      <c r="D23" t="s">
        <v>88</v>
      </c>
      <c r="E23" t="s">
        <v>89</v>
      </c>
      <c r="F23" t="s">
        <v>90</v>
      </c>
    </row>
    <row r="24" spans="1:6" s="4" customFormat="1" x14ac:dyDescent="0.2">
      <c r="A24" s="4">
        <v>21</v>
      </c>
      <c r="B24" s="4">
        <v>1043</v>
      </c>
      <c r="C24" s="4" t="s">
        <v>91</v>
      </c>
      <c r="D24" s="4" t="s">
        <v>92</v>
      </c>
      <c r="E24" s="4" t="s">
        <v>93</v>
      </c>
      <c r="F24" s="4" t="s">
        <v>94</v>
      </c>
    </row>
    <row r="25" spans="1:6" x14ac:dyDescent="0.2">
      <c r="A25">
        <v>22</v>
      </c>
      <c r="B25">
        <v>940</v>
      </c>
      <c r="C25" t="s">
        <v>95</v>
      </c>
      <c r="D25" t="s">
        <v>96</v>
      </c>
      <c r="E25" t="s">
        <v>97</v>
      </c>
      <c r="F25" t="s">
        <v>98</v>
      </c>
    </row>
    <row r="26" spans="1:6" x14ac:dyDescent="0.2">
      <c r="A26">
        <v>23</v>
      </c>
      <c r="B26">
        <v>918</v>
      </c>
      <c r="C26" t="s">
        <v>99</v>
      </c>
      <c r="D26" t="s">
        <v>100</v>
      </c>
      <c r="E26" t="s">
        <v>101</v>
      </c>
      <c r="F26" t="s">
        <v>102</v>
      </c>
    </row>
    <row r="27" spans="1:6" x14ac:dyDescent="0.2">
      <c r="A27">
        <v>24</v>
      </c>
      <c r="B27">
        <v>864</v>
      </c>
      <c r="C27" t="s">
        <v>103</v>
      </c>
      <c r="D27" t="e">
        <f>- no affordable housing</f>
        <v>#NAME?</v>
      </c>
      <c r="E27" t="s">
        <v>104</v>
      </c>
      <c r="F27" t="s">
        <v>105</v>
      </c>
    </row>
    <row r="28" spans="1:6" s="5" customFormat="1" x14ac:dyDescent="0.2">
      <c r="A28" s="5">
        <v>25</v>
      </c>
      <c r="B28" s="5">
        <v>836</v>
      </c>
      <c r="C28" s="5" t="s">
        <v>106</v>
      </c>
      <c r="D28" s="5" t="s">
        <v>107</v>
      </c>
      <c r="E28" s="5" t="s">
        <v>108</v>
      </c>
      <c r="F28" s="5" t="s">
        <v>107</v>
      </c>
    </row>
    <row r="29" spans="1:6" x14ac:dyDescent="0.2">
      <c r="A29">
        <v>26</v>
      </c>
      <c r="B29">
        <v>743</v>
      </c>
      <c r="C29" t="s">
        <v>109</v>
      </c>
      <c r="D29" t="s">
        <v>110</v>
      </c>
      <c r="E29" t="s">
        <v>111</v>
      </c>
      <c r="F29" t="s">
        <v>111</v>
      </c>
    </row>
    <row r="30" spans="1:6" x14ac:dyDescent="0.2">
      <c r="A30">
        <v>27</v>
      </c>
      <c r="B30">
        <v>742</v>
      </c>
      <c r="C30" t="s">
        <v>112</v>
      </c>
      <c r="D30" t="s">
        <v>113</v>
      </c>
      <c r="E30" t="e">
        <f>- loss of local business.</f>
        <v>#NAME?</v>
      </c>
      <c r="F30" t="e">
        <f>- loss of business in local area</f>
        <v>#NAME?</v>
      </c>
    </row>
    <row r="31" spans="1:6" x14ac:dyDescent="0.2">
      <c r="A31">
        <v>28</v>
      </c>
      <c r="B31">
        <v>714</v>
      </c>
      <c r="C31" t="s">
        <v>114</v>
      </c>
      <c r="D31" t="s">
        <v>115</v>
      </c>
      <c r="E31" t="s">
        <v>116</v>
      </c>
      <c r="F31" t="s">
        <v>117</v>
      </c>
    </row>
    <row r="32" spans="1:6" x14ac:dyDescent="0.2">
      <c r="A32">
        <v>29</v>
      </c>
      <c r="B32">
        <v>694</v>
      </c>
      <c r="C32" t="s">
        <v>118</v>
      </c>
      <c r="D32" t="s">
        <v>119</v>
      </c>
      <c r="E32" t="s">
        <v>120</v>
      </c>
      <c r="F32" t="s">
        <v>121</v>
      </c>
    </row>
    <row r="33" spans="1:6" x14ac:dyDescent="0.2">
      <c r="A33">
        <v>30</v>
      </c>
      <c r="B33">
        <v>656</v>
      </c>
      <c r="C33" t="s">
        <v>122</v>
      </c>
      <c r="D33" t="s">
        <v>123</v>
      </c>
      <c r="E33" t="s">
        <v>124</v>
      </c>
      <c r="F33" t="s">
        <v>125</v>
      </c>
    </row>
    <row r="34" spans="1:6" s="1" customFormat="1" x14ac:dyDescent="0.2">
      <c r="A34" s="1">
        <v>31</v>
      </c>
      <c r="B34" s="1">
        <v>655</v>
      </c>
      <c r="C34" s="1" t="s">
        <v>126</v>
      </c>
      <c r="D34" s="1" t="s">
        <v>127</v>
      </c>
      <c r="E34" s="1" t="s">
        <v>128</v>
      </c>
      <c r="F34" s="1" t="s">
        <v>129</v>
      </c>
    </row>
    <row r="35" spans="1:6" x14ac:dyDescent="0.2">
      <c r="A35">
        <v>32</v>
      </c>
      <c r="B35">
        <v>649</v>
      </c>
      <c r="C35" t="s">
        <v>130</v>
      </c>
      <c r="D35" t="s">
        <v>131</v>
      </c>
      <c r="E35" t="s">
        <v>132</v>
      </c>
      <c r="F35" t="s">
        <v>133</v>
      </c>
    </row>
    <row r="36" spans="1:6" s="6" customFormat="1" x14ac:dyDescent="0.2">
      <c r="A36" s="6">
        <v>33</v>
      </c>
      <c r="B36" s="6">
        <v>618</v>
      </c>
      <c r="C36" s="6" t="s">
        <v>134</v>
      </c>
      <c r="D36" s="6" t="s">
        <v>135</v>
      </c>
      <c r="E36" s="6" t="s">
        <v>135</v>
      </c>
      <c r="F36" s="6" t="s">
        <v>135</v>
      </c>
    </row>
    <row r="37" spans="1:6" x14ac:dyDescent="0.2">
      <c r="A37">
        <v>34</v>
      </c>
      <c r="B37">
        <v>617</v>
      </c>
      <c r="C37" t="s">
        <v>136</v>
      </c>
      <c r="D37" t="e">
        <f>- climate impact - demolition will release embedded carbon during climate crisis.</f>
        <v>#NAME?</v>
      </c>
      <c r="E37" t="s">
        <v>137</v>
      </c>
      <c r="F37" t="s">
        <v>138</v>
      </c>
    </row>
    <row r="38" spans="1:6" s="7" customFormat="1" x14ac:dyDescent="0.2">
      <c r="A38" s="7">
        <v>35</v>
      </c>
      <c r="B38" s="7">
        <v>512</v>
      </c>
      <c r="C38" s="7" t="s">
        <v>139</v>
      </c>
      <c r="D38" s="7" t="s">
        <v>140</v>
      </c>
      <c r="E38" s="7" t="s">
        <v>140</v>
      </c>
      <c r="F38" s="7" t="s">
        <v>140</v>
      </c>
    </row>
    <row r="39" spans="1:6" s="8" customFormat="1" x14ac:dyDescent="0.2">
      <c r="A39" s="8">
        <v>36</v>
      </c>
      <c r="B39" s="8">
        <v>465</v>
      </c>
      <c r="C39" s="8" t="s">
        <v>141</v>
      </c>
      <c r="D39" s="8" t="s">
        <v>142</v>
      </c>
      <c r="E39" s="8" t="s">
        <v>143</v>
      </c>
      <c r="F39" s="8" t="s">
        <v>144</v>
      </c>
    </row>
    <row r="40" spans="1:6" x14ac:dyDescent="0.2">
      <c r="A40">
        <v>37</v>
      </c>
      <c r="B40">
        <v>423</v>
      </c>
      <c r="C40" t="s">
        <v>145</v>
      </c>
      <c r="D40" t="s">
        <v>146</v>
      </c>
      <c r="E40" t="s">
        <v>146</v>
      </c>
      <c r="F40" t="s">
        <v>146</v>
      </c>
    </row>
    <row r="41" spans="1:6" s="9" customFormat="1" x14ac:dyDescent="0.2">
      <c r="A41" s="9">
        <v>38</v>
      </c>
      <c r="B41" s="9">
        <v>399</v>
      </c>
      <c r="C41" s="9" t="s">
        <v>147</v>
      </c>
      <c r="D41" s="9" t="s">
        <v>148</v>
      </c>
      <c r="E41" s="9" t="s">
        <v>148</v>
      </c>
      <c r="F41" s="9" t="s">
        <v>148</v>
      </c>
    </row>
    <row r="42" spans="1:6" s="1" customFormat="1" x14ac:dyDescent="0.2">
      <c r="A42" s="1">
        <v>39</v>
      </c>
      <c r="B42" s="1">
        <v>392</v>
      </c>
      <c r="C42" s="1" t="s">
        <v>149</v>
      </c>
      <c r="D42" s="1" t="s">
        <v>150</v>
      </c>
      <c r="E42" s="1" t="s">
        <v>151</v>
      </c>
      <c r="F42" s="1" t="s">
        <v>152</v>
      </c>
    </row>
    <row r="43" spans="1:6" s="8" customFormat="1" x14ac:dyDescent="0.2">
      <c r="A43" s="8">
        <v>40</v>
      </c>
      <c r="B43" s="8">
        <v>392</v>
      </c>
      <c r="C43" s="8" t="s">
        <v>153</v>
      </c>
      <c r="D43" s="8" t="s">
        <v>154</v>
      </c>
      <c r="E43" s="8" t="s">
        <v>154</v>
      </c>
      <c r="F43" s="8" t="s">
        <v>154</v>
      </c>
    </row>
    <row r="44" spans="1:6" s="1" customFormat="1" x14ac:dyDescent="0.2">
      <c r="A44" s="1">
        <v>41</v>
      </c>
      <c r="B44" s="1">
        <v>379</v>
      </c>
      <c r="C44" s="1" t="s">
        <v>155</v>
      </c>
      <c r="D44" s="1" t="s">
        <v>156</v>
      </c>
      <c r="E44" s="1" t="s">
        <v>156</v>
      </c>
      <c r="F44" s="1" t="s">
        <v>157</v>
      </c>
    </row>
    <row r="45" spans="1:6" s="1" customFormat="1" x14ac:dyDescent="0.2">
      <c r="A45" s="1">
        <v>42</v>
      </c>
      <c r="B45" s="1">
        <v>378</v>
      </c>
      <c r="C45" s="1" t="s">
        <v>158</v>
      </c>
      <c r="D45" s="1" t="s">
        <v>159</v>
      </c>
      <c r="E45" s="1" t="s">
        <v>160</v>
      </c>
      <c r="F45" s="1" t="s">
        <v>160</v>
      </c>
    </row>
    <row r="46" spans="1:6" s="2" customFormat="1" x14ac:dyDescent="0.2">
      <c r="A46" s="2">
        <v>43</v>
      </c>
      <c r="B46" s="2">
        <v>372</v>
      </c>
      <c r="C46" s="2" t="s">
        <v>161</v>
      </c>
      <c r="D46" s="2" t="s">
        <v>162</v>
      </c>
      <c r="E46" s="2" t="s">
        <v>163</v>
      </c>
      <c r="F46" s="2" t="s">
        <v>164</v>
      </c>
    </row>
    <row r="47" spans="1:6" x14ac:dyDescent="0.2">
      <c r="A47">
        <v>44</v>
      </c>
      <c r="B47">
        <v>369</v>
      </c>
      <c r="C47" t="s">
        <v>165</v>
      </c>
      <c r="D47" t="s">
        <v>166</v>
      </c>
      <c r="E47" t="s">
        <v>167</v>
      </c>
      <c r="F47" t="s">
        <v>168</v>
      </c>
    </row>
    <row r="48" spans="1:6" x14ac:dyDescent="0.2">
      <c r="A48">
        <v>45</v>
      </c>
      <c r="B48">
        <v>365</v>
      </c>
      <c r="C48" t="s">
        <v>169</v>
      </c>
      <c r="D48" t="s">
        <v>170</v>
      </c>
      <c r="E48" t="e">
        <f>- the park must not be used to facilitate access to the site during construction and public access to the park through the nearby entrance must be maintained during the hours the park is open. any trees removed or damaged should be replaced by mature trees and trees planted to screen the development from the park.</f>
        <v>#NAME?</v>
      </c>
      <c r="F48" t="s">
        <v>171</v>
      </c>
    </row>
    <row r="49" spans="1:6" s="9" customFormat="1" x14ac:dyDescent="0.2">
      <c r="A49" s="9">
        <v>46</v>
      </c>
      <c r="B49" s="9">
        <v>364</v>
      </c>
      <c r="C49" s="9" t="s">
        <v>172</v>
      </c>
      <c r="D49" s="9" t="s">
        <v>173</v>
      </c>
      <c r="E49" s="9" t="s">
        <v>174</v>
      </c>
      <c r="F49" s="9" t="s">
        <v>175</v>
      </c>
    </row>
    <row r="50" spans="1:6" s="3" customFormat="1" x14ac:dyDescent="0.2">
      <c r="A50" s="3">
        <v>47</v>
      </c>
      <c r="B50" s="3">
        <v>358</v>
      </c>
      <c r="C50" s="3" t="s">
        <v>176</v>
      </c>
      <c r="D50" s="3" t="s">
        <v>177</v>
      </c>
      <c r="E50" s="3" t="s">
        <v>177</v>
      </c>
      <c r="F50" s="3" t="s">
        <v>177</v>
      </c>
    </row>
    <row r="51" spans="1:6" s="7" customFormat="1" x14ac:dyDescent="0.2">
      <c r="A51" s="7">
        <v>48</v>
      </c>
      <c r="B51" s="7">
        <v>357</v>
      </c>
      <c r="C51" s="7" t="s">
        <v>178</v>
      </c>
      <c r="D51" s="7" t="s">
        <v>179</v>
      </c>
      <c r="E51" s="7" t="s">
        <v>180</v>
      </c>
      <c r="F51" s="7" t="s">
        <v>181</v>
      </c>
    </row>
    <row r="52" spans="1:6" s="9" customFormat="1" x14ac:dyDescent="0.2">
      <c r="A52" s="9">
        <v>49</v>
      </c>
      <c r="B52" s="9">
        <v>346</v>
      </c>
      <c r="C52" s="9" t="s">
        <v>182</v>
      </c>
      <c r="D52" s="9" t="s">
        <v>183</v>
      </c>
      <c r="E52" s="9" t="s">
        <v>183</v>
      </c>
      <c r="F52" s="9" t="s">
        <v>183</v>
      </c>
    </row>
    <row r="53" spans="1:6" x14ac:dyDescent="0.2">
      <c r="A53">
        <v>50</v>
      </c>
      <c r="B53">
        <v>323</v>
      </c>
      <c r="C53" t="s">
        <v>184</v>
      </c>
      <c r="D53" t="s">
        <v>185</v>
      </c>
      <c r="E53" t="s">
        <v>186</v>
      </c>
      <c r="F53" t="s">
        <v>187</v>
      </c>
    </row>
    <row r="54" spans="1:6" x14ac:dyDescent="0.2">
      <c r="A54">
        <v>51</v>
      </c>
      <c r="B54">
        <v>309</v>
      </c>
      <c r="C54" t="s">
        <v>188</v>
      </c>
      <c r="D54" t="s">
        <v>189</v>
      </c>
      <c r="E54" t="s">
        <v>190</v>
      </c>
      <c r="F54" t="s">
        <v>189</v>
      </c>
    </row>
    <row r="55" spans="1:6" x14ac:dyDescent="0.2">
      <c r="A55">
        <v>52</v>
      </c>
      <c r="B55">
        <v>297</v>
      </c>
      <c r="C55" t="s">
        <v>191</v>
      </c>
      <c r="D55" t="s">
        <v>192</v>
      </c>
      <c r="E55" t="s">
        <v>193</v>
      </c>
      <c r="F55" t="s">
        <v>194</v>
      </c>
    </row>
    <row r="56" spans="1:6" x14ac:dyDescent="0.2">
      <c r="A56">
        <v>53</v>
      </c>
      <c r="B56">
        <v>292</v>
      </c>
      <c r="C56" t="s">
        <v>195</v>
      </c>
      <c r="D56" t="s">
        <v>196</v>
      </c>
      <c r="E56" t="s">
        <v>196</v>
      </c>
      <c r="F56" t="s">
        <v>197</v>
      </c>
    </row>
    <row r="57" spans="1:6" x14ac:dyDescent="0.2">
      <c r="A57">
        <v>54</v>
      </c>
      <c r="B57">
        <v>257</v>
      </c>
      <c r="C57" t="s">
        <v>198</v>
      </c>
      <c r="D57" t="s">
        <v>199</v>
      </c>
      <c r="E57" t="s">
        <v>200</v>
      </c>
      <c r="F57" t="s">
        <v>201</v>
      </c>
    </row>
    <row r="58" spans="1:6" x14ac:dyDescent="0.2">
      <c r="A58">
        <v>55</v>
      </c>
      <c r="B58">
        <v>248</v>
      </c>
      <c r="C58" t="s">
        <v>202</v>
      </c>
      <c r="D58" t="s">
        <v>203</v>
      </c>
      <c r="E58" t="s">
        <v>204</v>
      </c>
      <c r="F58" t="e">
        <f>- the planning application for five two storey houses is an overdevelopment of this small, narrow site and will have a serious negative impact on the amenity of existing residents.</f>
        <v>#NAME?</v>
      </c>
    </row>
    <row r="59" spans="1:6" s="1" customFormat="1" x14ac:dyDescent="0.2">
      <c r="A59" s="1">
        <v>56</v>
      </c>
      <c r="B59" s="1">
        <v>248</v>
      </c>
      <c r="C59" s="1" t="s">
        <v>205</v>
      </c>
      <c r="D59" s="1" t="s">
        <v>206</v>
      </c>
      <c r="E59" s="1" t="s">
        <v>207</v>
      </c>
      <c r="F59" s="1" t="s">
        <v>208</v>
      </c>
    </row>
    <row r="60" spans="1:6" s="1" customFormat="1" x14ac:dyDescent="0.2">
      <c r="A60" s="1">
        <v>57</v>
      </c>
      <c r="B60" s="1">
        <v>230</v>
      </c>
      <c r="C60" s="1" t="s">
        <v>209</v>
      </c>
      <c r="D60" s="1" t="s">
        <v>210</v>
      </c>
      <c r="E60" s="1" t="s">
        <v>211</v>
      </c>
      <c r="F60" s="1" t="s">
        <v>211</v>
      </c>
    </row>
    <row r="61" spans="1:6" x14ac:dyDescent="0.2">
      <c r="A61">
        <v>58</v>
      </c>
      <c r="B61">
        <v>228</v>
      </c>
      <c r="C61" t="s">
        <v>212</v>
      </c>
      <c r="D61" t="s">
        <v>213</v>
      </c>
      <c r="E61" t="s">
        <v>214</v>
      </c>
      <c r="F61" t="s">
        <v>215</v>
      </c>
    </row>
    <row r="62" spans="1:6" x14ac:dyDescent="0.2">
      <c r="A62">
        <v>59</v>
      </c>
      <c r="B62">
        <v>224</v>
      </c>
      <c r="C62" t="s">
        <v>216</v>
      </c>
      <c r="D62" t="s">
        <v>217</v>
      </c>
      <c r="E62" t="s">
        <v>218</v>
      </c>
      <c r="F62" t="s">
        <v>218</v>
      </c>
    </row>
    <row r="63" spans="1:6" x14ac:dyDescent="0.2">
      <c r="A63">
        <v>60</v>
      </c>
      <c r="B63">
        <v>216</v>
      </c>
      <c r="C63" t="s">
        <v>219</v>
      </c>
      <c r="D63" t="s">
        <v>220</v>
      </c>
      <c r="E63" t="s">
        <v>221</v>
      </c>
      <c r="F63" t="s">
        <v>222</v>
      </c>
    </row>
    <row r="64" spans="1:6" x14ac:dyDescent="0.2">
      <c r="A64">
        <v>61</v>
      </c>
      <c r="B64">
        <v>213</v>
      </c>
      <c r="C64" t="s">
        <v>223</v>
      </c>
      <c r="D64" t="s">
        <v>224</v>
      </c>
      <c r="E64" t="s">
        <v>224</v>
      </c>
      <c r="F64" t="s">
        <v>225</v>
      </c>
    </row>
    <row r="65" spans="1:6" x14ac:dyDescent="0.2">
      <c r="A65">
        <v>62</v>
      </c>
      <c r="B65">
        <v>207</v>
      </c>
      <c r="C65" t="s">
        <v>226</v>
      </c>
      <c r="D65" t="s">
        <v>227</v>
      </c>
      <c r="E65" t="s">
        <v>228</v>
      </c>
      <c r="F65" t="s">
        <v>229</v>
      </c>
    </row>
    <row r="66" spans="1:6" x14ac:dyDescent="0.2">
      <c r="A66">
        <v>63</v>
      </c>
      <c r="B66">
        <v>207</v>
      </c>
      <c r="C66" t="s">
        <v>230</v>
      </c>
      <c r="D66" t="s">
        <v>231</v>
      </c>
      <c r="E66" t="s">
        <v>232</v>
      </c>
      <c r="F66" t="s">
        <v>233</v>
      </c>
    </row>
    <row r="67" spans="1:6" x14ac:dyDescent="0.2">
      <c r="A67">
        <v>64</v>
      </c>
      <c r="B67">
        <v>204</v>
      </c>
      <c r="C67" t="s">
        <v>234</v>
      </c>
      <c r="D67" t="s">
        <v>235</v>
      </c>
      <c r="E67" t="s">
        <v>236</v>
      </c>
      <c r="F67" t="s">
        <v>237</v>
      </c>
    </row>
    <row r="68" spans="1:6" x14ac:dyDescent="0.2">
      <c r="A68">
        <v>65</v>
      </c>
      <c r="B68">
        <v>193</v>
      </c>
      <c r="C68" t="s">
        <v>238</v>
      </c>
      <c r="D68" t="s">
        <v>239</v>
      </c>
      <c r="E68" t="s">
        <v>240</v>
      </c>
      <c r="F68" t="s">
        <v>241</v>
      </c>
    </row>
    <row r="69" spans="1:6" x14ac:dyDescent="0.2">
      <c r="A69">
        <v>66</v>
      </c>
      <c r="B69">
        <v>192</v>
      </c>
      <c r="C69" t="s">
        <v>242</v>
      </c>
      <c r="D69" t="s">
        <v>243</v>
      </c>
      <c r="E69" t="s">
        <v>243</v>
      </c>
      <c r="F69" t="s">
        <v>244</v>
      </c>
    </row>
    <row r="70" spans="1:6" x14ac:dyDescent="0.2">
      <c r="A70">
        <v>67</v>
      </c>
      <c r="B70">
        <v>189</v>
      </c>
      <c r="C70" t="s">
        <v>245</v>
      </c>
      <c r="D70" t="s">
        <v>246</v>
      </c>
      <c r="E70" t="s">
        <v>247</v>
      </c>
      <c r="F70" t="s">
        <v>248</v>
      </c>
    </row>
    <row r="71" spans="1:6" x14ac:dyDescent="0.2">
      <c r="A71">
        <v>68</v>
      </c>
      <c r="B71">
        <v>176</v>
      </c>
      <c r="C71" t="s">
        <v>249</v>
      </c>
      <c r="D71" t="s">
        <v>250</v>
      </c>
      <c r="E71" t="s">
        <v>251</v>
      </c>
      <c r="F71" t="s">
        <v>252</v>
      </c>
    </row>
    <row r="72" spans="1:6" x14ac:dyDescent="0.2">
      <c r="A72">
        <v>69</v>
      </c>
      <c r="B72">
        <v>169</v>
      </c>
      <c r="C72" t="s">
        <v>253</v>
      </c>
      <c r="D72" t="s">
        <v>254</v>
      </c>
      <c r="E72" t="s">
        <v>254</v>
      </c>
      <c r="F72" t="s">
        <v>254</v>
      </c>
    </row>
    <row r="73" spans="1:6" x14ac:dyDescent="0.2">
      <c r="A73">
        <v>70</v>
      </c>
      <c r="B73">
        <v>161</v>
      </c>
      <c r="C73" t="s">
        <v>255</v>
      </c>
      <c r="D73" t="s">
        <v>257</v>
      </c>
      <c r="E73" t="s">
        <v>257</v>
      </c>
      <c r="F73" t="s">
        <v>257</v>
      </c>
    </row>
    <row r="74" spans="1:6" x14ac:dyDescent="0.2">
      <c r="A74">
        <v>71</v>
      </c>
      <c r="B74">
        <v>150</v>
      </c>
      <c r="C74" t="s">
        <v>258</v>
      </c>
      <c r="D74" t="s">
        <v>259</v>
      </c>
      <c r="E74" t="s">
        <v>259</v>
      </c>
      <c r="F74" t="s">
        <v>260</v>
      </c>
    </row>
    <row r="75" spans="1:6" x14ac:dyDescent="0.2">
      <c r="A75">
        <v>72</v>
      </c>
      <c r="B75">
        <v>135</v>
      </c>
      <c r="C75" t="s">
        <v>261</v>
      </c>
      <c r="D75" t="s">
        <v>262</v>
      </c>
      <c r="E75" t="s">
        <v>263</v>
      </c>
      <c r="F75" t="s">
        <v>264</v>
      </c>
    </row>
    <row r="76" spans="1:6" x14ac:dyDescent="0.2">
      <c r="A76">
        <v>73</v>
      </c>
      <c r="B76">
        <v>126</v>
      </c>
      <c r="C76" t="s">
        <v>265</v>
      </c>
      <c r="D76" t="s">
        <v>266</v>
      </c>
      <c r="E76" t="s">
        <v>267</v>
      </c>
      <c r="F76" t="s">
        <v>267</v>
      </c>
    </row>
    <row r="77" spans="1:6" x14ac:dyDescent="0.2">
      <c r="A77">
        <v>74</v>
      </c>
      <c r="B77">
        <v>121</v>
      </c>
      <c r="C77" t="s">
        <v>268</v>
      </c>
      <c r="D77" t="s">
        <v>269</v>
      </c>
      <c r="E77" t="s">
        <v>270</v>
      </c>
      <c r="F77" t="s">
        <v>271</v>
      </c>
    </row>
    <row r="78" spans="1:6" x14ac:dyDescent="0.2">
      <c r="A78">
        <v>75</v>
      </c>
      <c r="B78">
        <v>118</v>
      </c>
      <c r="C78" t="s">
        <v>272</v>
      </c>
      <c r="D78" t="s">
        <v>273</v>
      </c>
      <c r="E78" t="s">
        <v>274</v>
      </c>
      <c r="F78" t="s">
        <v>275</v>
      </c>
    </row>
    <row r="79" spans="1:6" x14ac:dyDescent="0.2">
      <c r="A79">
        <v>76</v>
      </c>
      <c r="B79">
        <v>113</v>
      </c>
      <c r="C79" t="s">
        <v>276</v>
      </c>
      <c r="D79" t="s">
        <v>277</v>
      </c>
      <c r="E79" t="s">
        <v>278</v>
      </c>
      <c r="F79" t="s">
        <v>279</v>
      </c>
    </row>
    <row r="80" spans="1:6" x14ac:dyDescent="0.2">
      <c r="A80">
        <v>77</v>
      </c>
      <c r="B80">
        <v>92</v>
      </c>
      <c r="C80" t="s">
        <v>280</v>
      </c>
      <c r="D80" t="s">
        <v>281</v>
      </c>
      <c r="E80" t="s">
        <v>282</v>
      </c>
      <c r="F80" t="s">
        <v>283</v>
      </c>
    </row>
    <row r="81" spans="1:6" x14ac:dyDescent="0.2">
      <c r="A81">
        <v>78</v>
      </c>
      <c r="B81">
        <v>89</v>
      </c>
      <c r="C81" t="s">
        <v>284</v>
      </c>
      <c r="D81" t="s">
        <v>285</v>
      </c>
      <c r="E81" t="s">
        <v>286</v>
      </c>
      <c r="F81" t="s">
        <v>287</v>
      </c>
    </row>
    <row r="82" spans="1:6" x14ac:dyDescent="0.2">
      <c r="A82">
        <v>79</v>
      </c>
      <c r="B82">
        <v>85</v>
      </c>
      <c r="C82" t="s">
        <v>288</v>
      </c>
      <c r="D82" t="s">
        <v>289</v>
      </c>
      <c r="E82" t="s">
        <v>290</v>
      </c>
      <c r="F82" t="s">
        <v>289</v>
      </c>
    </row>
    <row r="83" spans="1:6" x14ac:dyDescent="0.2">
      <c r="A83">
        <v>80</v>
      </c>
      <c r="B83">
        <v>83</v>
      </c>
      <c r="C83" t="s">
        <v>291</v>
      </c>
      <c r="D83" t="s">
        <v>292</v>
      </c>
      <c r="E83" t="s">
        <v>292</v>
      </c>
      <c r="F83" t="s">
        <v>293</v>
      </c>
    </row>
    <row r="84" spans="1:6" x14ac:dyDescent="0.2">
      <c r="A84">
        <v>81</v>
      </c>
      <c r="B84">
        <v>73</v>
      </c>
      <c r="C84" t="s">
        <v>294</v>
      </c>
      <c r="D84" t="s">
        <v>295</v>
      </c>
      <c r="E84" t="s">
        <v>295</v>
      </c>
      <c r="F84" t="s">
        <v>295</v>
      </c>
    </row>
    <row r="85" spans="1:6" x14ac:dyDescent="0.2">
      <c r="A85">
        <v>82</v>
      </c>
      <c r="B85">
        <v>62</v>
      </c>
      <c r="C85" t="s">
        <v>296</v>
      </c>
      <c r="D85" t="s">
        <v>297</v>
      </c>
      <c r="E85" t="s">
        <v>298</v>
      </c>
      <c r="F85" t="s">
        <v>299</v>
      </c>
    </row>
    <row r="86" spans="1:6" x14ac:dyDescent="0.2">
      <c r="A86">
        <v>83</v>
      </c>
      <c r="B86">
        <v>59</v>
      </c>
      <c r="C86" t="s">
        <v>300</v>
      </c>
      <c r="D86" t="s">
        <v>301</v>
      </c>
      <c r="E86" t="s">
        <v>302</v>
      </c>
      <c r="F86" t="s">
        <v>303</v>
      </c>
    </row>
    <row r="87" spans="1:6" x14ac:dyDescent="0.2">
      <c r="A87">
        <v>84</v>
      </c>
      <c r="B87">
        <v>54</v>
      </c>
      <c r="C87" t="s">
        <v>304</v>
      </c>
      <c r="D87" t="s">
        <v>305</v>
      </c>
      <c r="E87" t="s">
        <v>306</v>
      </c>
      <c r="F87" t="s">
        <v>307</v>
      </c>
    </row>
    <row r="88" spans="1:6" x14ac:dyDescent="0.2">
      <c r="A88">
        <v>85</v>
      </c>
      <c r="B88">
        <v>51</v>
      </c>
      <c r="C88" t="s">
        <v>308</v>
      </c>
      <c r="D88" t="s">
        <v>309</v>
      </c>
      <c r="E88" t="s">
        <v>309</v>
      </c>
      <c r="F88" t="s">
        <v>310</v>
      </c>
    </row>
    <row r="89" spans="1:6" x14ac:dyDescent="0.2">
      <c r="A89">
        <v>86</v>
      </c>
      <c r="B89">
        <v>37</v>
      </c>
      <c r="C89" t="s">
        <v>311</v>
      </c>
      <c r="D89" t="s">
        <v>312</v>
      </c>
      <c r="E89" t="s">
        <v>312</v>
      </c>
      <c r="F89" t="s">
        <v>312</v>
      </c>
    </row>
    <row r="90" spans="1:6" x14ac:dyDescent="0.2">
      <c r="A90">
        <v>87</v>
      </c>
      <c r="B90">
        <v>37</v>
      </c>
      <c r="C90" t="s">
        <v>313</v>
      </c>
      <c r="D90" t="s">
        <v>314</v>
      </c>
      <c r="E90" t="s">
        <v>314</v>
      </c>
      <c r="F90" t="s">
        <v>315</v>
      </c>
    </row>
    <row r="91" spans="1:6" s="1" customFormat="1" x14ac:dyDescent="0.2">
      <c r="A91" s="1">
        <v>88</v>
      </c>
      <c r="B91" s="1">
        <v>36</v>
      </c>
      <c r="C91" s="1" t="s">
        <v>316</v>
      </c>
      <c r="D91" s="1" t="s">
        <v>317</v>
      </c>
      <c r="E91" s="1" t="s">
        <v>318</v>
      </c>
      <c r="F91" s="1" t="s">
        <v>319</v>
      </c>
    </row>
    <row r="92" spans="1:6" x14ac:dyDescent="0.2">
      <c r="A92">
        <v>89</v>
      </c>
      <c r="B92">
        <v>27</v>
      </c>
      <c r="C92" t="s">
        <v>320</v>
      </c>
      <c r="D92" t="e">
        <f>- failure to demonstrate that the proposed development is necessary or compatible with the local area.</f>
        <v>#NAME?</v>
      </c>
      <c r="E92" t="e">
        <f>- failure to demonstrate that the proposed development is necessary or compatible with the local area.</f>
        <v>#NAME?</v>
      </c>
      <c r="F92" t="s">
        <v>321</v>
      </c>
    </row>
    <row r="93" spans="1:6" x14ac:dyDescent="0.2">
      <c r="A93">
        <v>90</v>
      </c>
      <c r="B93">
        <v>26</v>
      </c>
      <c r="C93" t="s">
        <v>322</v>
      </c>
      <c r="D93" t="s">
        <v>323</v>
      </c>
      <c r="E93" t="s">
        <v>323</v>
      </c>
      <c r="F93" t="s">
        <v>324</v>
      </c>
    </row>
    <row r="94" spans="1:6" x14ac:dyDescent="0.2">
      <c r="A94">
        <v>91</v>
      </c>
      <c r="B94">
        <v>25</v>
      </c>
      <c r="C94" t="s">
        <v>325</v>
      </c>
      <c r="D94" t="s">
        <v>326</v>
      </c>
      <c r="E94" t="s">
        <v>326</v>
      </c>
      <c r="F94" t="s">
        <v>326</v>
      </c>
    </row>
    <row r="95" spans="1:6" x14ac:dyDescent="0.2">
      <c r="A95">
        <v>92</v>
      </c>
      <c r="B95">
        <v>25</v>
      </c>
      <c r="C95" t="s">
        <v>327</v>
      </c>
      <c r="D95" t="s">
        <v>328</v>
      </c>
      <c r="E95" t="s">
        <v>328</v>
      </c>
      <c r="F95" t="s">
        <v>328</v>
      </c>
    </row>
    <row r="96" spans="1:6" x14ac:dyDescent="0.2">
      <c r="A96">
        <v>93</v>
      </c>
      <c r="B96">
        <v>24</v>
      </c>
      <c r="C96" t="s">
        <v>329</v>
      </c>
      <c r="D96" t="s">
        <v>330</v>
      </c>
      <c r="E96" t="s">
        <v>331</v>
      </c>
      <c r="F96" t="s">
        <v>332</v>
      </c>
    </row>
    <row r="97" spans="1:6" x14ac:dyDescent="0.2">
      <c r="A97">
        <v>94</v>
      </c>
      <c r="B97">
        <v>24</v>
      </c>
      <c r="C97" t="s">
        <v>333</v>
      </c>
      <c r="D97" t="s">
        <v>334</v>
      </c>
      <c r="E97" t="s">
        <v>335</v>
      </c>
      <c r="F97" t="s">
        <v>335</v>
      </c>
    </row>
    <row r="98" spans="1:6" x14ac:dyDescent="0.2">
      <c r="A98">
        <v>95</v>
      </c>
      <c r="B98">
        <v>23</v>
      </c>
      <c r="C98" t="s">
        <v>336</v>
      </c>
      <c r="D98" t="s">
        <v>337</v>
      </c>
      <c r="E98" t="s">
        <v>338</v>
      </c>
      <c r="F98" t="s">
        <v>339</v>
      </c>
    </row>
    <row r="99" spans="1:6" x14ac:dyDescent="0.2">
      <c r="A99">
        <v>96</v>
      </c>
      <c r="B99">
        <v>22</v>
      </c>
      <c r="C99" t="s">
        <v>340</v>
      </c>
      <c r="D99" t="s">
        <v>341</v>
      </c>
      <c r="E99" t="s">
        <v>341</v>
      </c>
      <c r="F99" t="s">
        <v>341</v>
      </c>
    </row>
    <row r="100" spans="1:6" x14ac:dyDescent="0.2">
      <c r="A100">
        <v>97</v>
      </c>
      <c r="B100">
        <v>22</v>
      </c>
      <c r="C100" t="s">
        <v>342</v>
      </c>
      <c r="D100" t="s">
        <v>343</v>
      </c>
      <c r="E100" t="s">
        <v>344</v>
      </c>
      <c r="F100" t="s">
        <v>344</v>
      </c>
    </row>
    <row r="101" spans="1:6" s="1" customFormat="1" x14ac:dyDescent="0.2">
      <c r="A101" s="1">
        <v>98</v>
      </c>
      <c r="B101" s="1">
        <v>21</v>
      </c>
      <c r="C101" s="1" t="s">
        <v>345</v>
      </c>
      <c r="D101" s="1" t="s">
        <v>346</v>
      </c>
      <c r="E101" s="1" t="s">
        <v>347</v>
      </c>
      <c r="F101" s="1" t="s">
        <v>348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A5F23-78FC-4B45-9573-8B42FA1A807D}">
  <dimension ref="A1:J49"/>
  <sheetViews>
    <sheetView workbookViewId="0"/>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v>-1</v>
      </c>
      <c r="B2">
        <v>276</v>
      </c>
      <c r="C2" t="s">
        <v>652</v>
      </c>
      <c r="D2" t="s">
        <v>651</v>
      </c>
      <c r="E2" t="s">
        <v>651</v>
      </c>
      <c r="F2" t="s">
        <v>650</v>
      </c>
      <c r="G2" t="s">
        <v>649</v>
      </c>
      <c r="H2" t="s">
        <v>648</v>
      </c>
      <c r="I2" t="s">
        <v>648</v>
      </c>
      <c r="J2" t="s">
        <v>648</v>
      </c>
    </row>
    <row r="3" spans="1:10" x14ac:dyDescent="0.2">
      <c r="A3">
        <v>0</v>
      </c>
      <c r="B3">
        <v>39</v>
      </c>
      <c r="C3" t="s">
        <v>647</v>
      </c>
      <c r="D3" t="s">
        <v>646</v>
      </c>
      <c r="E3" t="s">
        <v>646</v>
      </c>
      <c r="F3" t="s">
        <v>645</v>
      </c>
      <c r="G3" t="s">
        <v>644</v>
      </c>
      <c r="H3" t="s">
        <v>643</v>
      </c>
      <c r="I3" t="s">
        <v>643</v>
      </c>
      <c r="J3" t="s">
        <v>642</v>
      </c>
    </row>
    <row r="4" spans="1:10" x14ac:dyDescent="0.2">
      <c r="A4">
        <v>1</v>
      </c>
      <c r="B4">
        <v>39</v>
      </c>
      <c r="C4" t="s">
        <v>641</v>
      </c>
      <c r="D4" t="s">
        <v>640</v>
      </c>
      <c r="E4" t="s">
        <v>640</v>
      </c>
      <c r="F4" t="s">
        <v>639</v>
      </c>
      <c r="G4" t="s">
        <v>638</v>
      </c>
      <c r="H4" t="s">
        <v>637</v>
      </c>
      <c r="I4" t="s">
        <v>637</v>
      </c>
      <c r="J4" t="s">
        <v>637</v>
      </c>
    </row>
    <row r="5" spans="1:10" x14ac:dyDescent="0.2">
      <c r="A5">
        <v>2</v>
      </c>
      <c r="B5">
        <v>29</v>
      </c>
      <c r="C5" t="s">
        <v>636</v>
      </c>
      <c r="D5" t="s">
        <v>635</v>
      </c>
      <c r="E5" t="s">
        <v>635</v>
      </c>
      <c r="F5" t="s">
        <v>634</v>
      </c>
      <c r="G5" t="s">
        <v>633</v>
      </c>
      <c r="H5" t="s">
        <v>150</v>
      </c>
      <c r="I5" t="s">
        <v>150</v>
      </c>
      <c r="J5" t="s">
        <v>150</v>
      </c>
    </row>
    <row r="6" spans="1:10" x14ac:dyDescent="0.2">
      <c r="A6">
        <v>3</v>
      </c>
      <c r="B6">
        <v>71</v>
      </c>
      <c r="C6" t="s">
        <v>632</v>
      </c>
      <c r="D6" t="s">
        <v>631</v>
      </c>
      <c r="E6" t="s">
        <v>631</v>
      </c>
      <c r="F6" t="s">
        <v>630</v>
      </c>
      <c r="G6" t="s">
        <v>629</v>
      </c>
      <c r="H6" t="s">
        <v>628</v>
      </c>
      <c r="I6" t="s">
        <v>628</v>
      </c>
      <c r="J6" t="s">
        <v>627</v>
      </c>
    </row>
    <row r="7" spans="1:10" x14ac:dyDescent="0.2">
      <c r="A7">
        <v>4</v>
      </c>
      <c r="B7">
        <v>38</v>
      </c>
      <c r="C7" t="s">
        <v>626</v>
      </c>
      <c r="D7" t="s">
        <v>625</v>
      </c>
      <c r="E7" t="s">
        <v>625</v>
      </c>
      <c r="F7" t="s">
        <v>624</v>
      </c>
      <c r="G7" t="s">
        <v>623</v>
      </c>
      <c r="H7" t="s">
        <v>622</v>
      </c>
      <c r="I7" t="s">
        <v>622</v>
      </c>
      <c r="J7" t="s">
        <v>622</v>
      </c>
    </row>
    <row r="8" spans="1:10" x14ac:dyDescent="0.2">
      <c r="A8">
        <v>5</v>
      </c>
      <c r="B8">
        <v>31</v>
      </c>
      <c r="C8" t="s">
        <v>621</v>
      </c>
      <c r="D8" t="s">
        <v>620</v>
      </c>
      <c r="E8" t="s">
        <v>620</v>
      </c>
      <c r="F8" t="s">
        <v>619</v>
      </c>
      <c r="G8" t="s">
        <v>618</v>
      </c>
      <c r="H8" t="s">
        <v>616</v>
      </c>
      <c r="I8" t="s">
        <v>617</v>
      </c>
      <c r="J8" t="s">
        <v>616</v>
      </c>
    </row>
    <row r="9" spans="1:10" x14ac:dyDescent="0.2">
      <c r="A9">
        <v>6</v>
      </c>
      <c r="B9">
        <v>60</v>
      </c>
      <c r="C9" t="s">
        <v>615</v>
      </c>
      <c r="D9" t="s">
        <v>614</v>
      </c>
      <c r="E9" t="s">
        <v>614</v>
      </c>
      <c r="F9" t="s">
        <v>613</v>
      </c>
      <c r="G9" t="s">
        <v>612</v>
      </c>
      <c r="H9" t="s">
        <v>611</v>
      </c>
      <c r="I9" t="s">
        <v>610</v>
      </c>
      <c r="J9" t="e">
        <f>- conservation area.</f>
        <v>#NAME?</v>
      </c>
    </row>
    <row r="10" spans="1:10" x14ac:dyDescent="0.2">
      <c r="A10">
        <v>7</v>
      </c>
      <c r="B10">
        <v>25</v>
      </c>
      <c r="C10" t="s">
        <v>609</v>
      </c>
      <c r="D10" t="s">
        <v>608</v>
      </c>
      <c r="E10" t="s">
        <v>608</v>
      </c>
      <c r="F10" t="s">
        <v>607</v>
      </c>
      <c r="G10" t="s">
        <v>606</v>
      </c>
      <c r="H10" t="s">
        <v>605</v>
      </c>
      <c r="I10" t="s">
        <v>604</v>
      </c>
      <c r="J10" t="s">
        <v>604</v>
      </c>
    </row>
    <row r="11" spans="1:10" x14ac:dyDescent="0.2">
      <c r="A11">
        <v>8</v>
      </c>
      <c r="B11">
        <v>25</v>
      </c>
      <c r="C11" t="s">
        <v>603</v>
      </c>
      <c r="D11" t="s">
        <v>602</v>
      </c>
      <c r="E11" t="s">
        <v>602</v>
      </c>
      <c r="F11" t="s">
        <v>601</v>
      </c>
      <c r="G11" t="s">
        <v>600</v>
      </c>
      <c r="H11" t="e">
        <f>- high quality rather than high quantity. everybody will benefit including the financial return for the developer if this mantra is followed in this desirable area of london.</f>
        <v>#NAME?</v>
      </c>
      <c r="I11" t="e">
        <f>- high quality rather than high quantity. everybody will benefit including the financial return for the developer if this mantra is followed in this desirable area of london.</f>
        <v>#NAME?</v>
      </c>
      <c r="J11" t="s">
        <v>599</v>
      </c>
    </row>
    <row r="12" spans="1:10" x14ac:dyDescent="0.2">
      <c r="A12">
        <v>9</v>
      </c>
      <c r="B12">
        <v>22</v>
      </c>
      <c r="C12" t="s">
        <v>598</v>
      </c>
      <c r="D12" t="s">
        <v>597</v>
      </c>
      <c r="E12" t="s">
        <v>597</v>
      </c>
      <c r="F12" t="s">
        <v>596</v>
      </c>
      <c r="G12" t="s">
        <v>595</v>
      </c>
      <c r="H12" t="s">
        <v>594</v>
      </c>
      <c r="I12" t="s">
        <v>594</v>
      </c>
      <c r="J12" t="s">
        <v>594</v>
      </c>
    </row>
    <row r="13" spans="1:10" x14ac:dyDescent="0.2">
      <c r="A13">
        <v>10</v>
      </c>
      <c r="B13">
        <v>30</v>
      </c>
      <c r="C13" t="s">
        <v>593</v>
      </c>
      <c r="D13" t="s">
        <v>592</v>
      </c>
      <c r="E13" t="s">
        <v>592</v>
      </c>
      <c r="F13" t="s">
        <v>591</v>
      </c>
      <c r="G13" t="s">
        <v>590</v>
      </c>
      <c r="H13" t="s">
        <v>589</v>
      </c>
      <c r="I13" t="s">
        <v>588</v>
      </c>
      <c r="J13" t="s">
        <v>587</v>
      </c>
    </row>
    <row r="14" spans="1:10" x14ac:dyDescent="0.2">
      <c r="A14">
        <v>11</v>
      </c>
      <c r="B14">
        <v>47</v>
      </c>
      <c r="C14" t="s">
        <v>586</v>
      </c>
      <c r="D14" t="s">
        <v>585</v>
      </c>
      <c r="E14" t="s">
        <v>585</v>
      </c>
      <c r="F14" t="s">
        <v>584</v>
      </c>
      <c r="G14" t="s">
        <v>583</v>
      </c>
      <c r="H14" t="s">
        <v>582</v>
      </c>
      <c r="I14" t="s">
        <v>582</v>
      </c>
      <c r="J14" t="s">
        <v>581</v>
      </c>
    </row>
    <row r="15" spans="1:10" x14ac:dyDescent="0.2">
      <c r="A15">
        <v>12</v>
      </c>
      <c r="B15">
        <v>43</v>
      </c>
      <c r="C15" t="s">
        <v>580</v>
      </c>
      <c r="D15" t="s">
        <v>579</v>
      </c>
      <c r="E15" t="s">
        <v>579</v>
      </c>
      <c r="F15" t="s">
        <v>578</v>
      </c>
      <c r="G15" t="s">
        <v>577</v>
      </c>
      <c r="H15" t="s">
        <v>576</v>
      </c>
      <c r="I15" t="s">
        <v>575</v>
      </c>
      <c r="J15" t="s">
        <v>575</v>
      </c>
    </row>
    <row r="16" spans="1:10" x14ac:dyDescent="0.2">
      <c r="A16">
        <v>13</v>
      </c>
      <c r="B16">
        <v>21</v>
      </c>
      <c r="C16" t="s">
        <v>574</v>
      </c>
      <c r="D16" t="s">
        <v>573</v>
      </c>
      <c r="E16" t="s">
        <v>573</v>
      </c>
      <c r="F16" t="s">
        <v>572</v>
      </c>
      <c r="G16" t="s">
        <v>571</v>
      </c>
      <c r="H16" t="s">
        <v>570</v>
      </c>
      <c r="I16" t="s">
        <v>570</v>
      </c>
      <c r="J16" t="s">
        <v>570</v>
      </c>
    </row>
    <row r="17" spans="1:10" x14ac:dyDescent="0.2">
      <c r="A17">
        <v>14</v>
      </c>
      <c r="B17">
        <v>55</v>
      </c>
      <c r="C17" t="s">
        <v>569</v>
      </c>
      <c r="D17" t="s">
        <v>568</v>
      </c>
      <c r="E17" t="s">
        <v>568</v>
      </c>
      <c r="F17" t="s">
        <v>567</v>
      </c>
      <c r="G17" t="s">
        <v>566</v>
      </c>
      <c r="H17" t="e">
        <f>- air quality</f>
        <v>#NAME?</v>
      </c>
      <c r="I17" t="s">
        <v>565</v>
      </c>
      <c r="J17" t="s">
        <v>564</v>
      </c>
    </row>
    <row r="18" spans="1:10" x14ac:dyDescent="0.2">
      <c r="A18">
        <v>15</v>
      </c>
      <c r="B18">
        <v>98</v>
      </c>
      <c r="C18" t="s">
        <v>563</v>
      </c>
      <c r="D18" t="s">
        <v>562</v>
      </c>
      <c r="E18" t="s">
        <v>562</v>
      </c>
      <c r="F18" t="s">
        <v>561</v>
      </c>
      <c r="G18" t="s">
        <v>560</v>
      </c>
      <c r="H18" t="s">
        <v>558</v>
      </c>
      <c r="I18" t="s">
        <v>559</v>
      </c>
      <c r="J18" t="s">
        <v>558</v>
      </c>
    </row>
    <row r="19" spans="1:10" x14ac:dyDescent="0.2">
      <c r="A19">
        <v>16</v>
      </c>
      <c r="B19">
        <v>34</v>
      </c>
      <c r="C19" t="s">
        <v>557</v>
      </c>
      <c r="D19" t="s">
        <v>556</v>
      </c>
      <c r="E19" t="s">
        <v>556</v>
      </c>
      <c r="F19" t="s">
        <v>555</v>
      </c>
      <c r="G19" t="s">
        <v>554</v>
      </c>
      <c r="H19" t="s">
        <v>553</v>
      </c>
      <c r="I19" t="s">
        <v>552</v>
      </c>
      <c r="J19" t="s">
        <v>551</v>
      </c>
    </row>
    <row r="20" spans="1:10" x14ac:dyDescent="0.2">
      <c r="A20">
        <v>17</v>
      </c>
      <c r="B20">
        <v>83</v>
      </c>
      <c r="C20" t="s">
        <v>550</v>
      </c>
      <c r="D20" t="s">
        <v>549</v>
      </c>
      <c r="E20" t="s">
        <v>549</v>
      </c>
      <c r="F20" t="s">
        <v>548</v>
      </c>
      <c r="G20" t="s">
        <v>547</v>
      </c>
      <c r="H20" t="s">
        <v>546</v>
      </c>
      <c r="I20" t="s">
        <v>545</v>
      </c>
      <c r="J20" t="s">
        <v>544</v>
      </c>
    </row>
    <row r="21" spans="1:10" x14ac:dyDescent="0.2">
      <c r="A21">
        <v>18</v>
      </c>
      <c r="B21">
        <v>34</v>
      </c>
      <c r="C21" t="s">
        <v>543</v>
      </c>
      <c r="D21" t="s">
        <v>542</v>
      </c>
      <c r="E21" t="s">
        <v>542</v>
      </c>
      <c r="F21" t="s">
        <v>541</v>
      </c>
      <c r="G21" t="s">
        <v>540</v>
      </c>
      <c r="H21" t="s">
        <v>539</v>
      </c>
      <c r="I21" t="s">
        <v>538</v>
      </c>
      <c r="J21" t="s">
        <v>537</v>
      </c>
    </row>
    <row r="22" spans="1:10" x14ac:dyDescent="0.2">
      <c r="A22">
        <v>19</v>
      </c>
      <c r="B22">
        <v>27</v>
      </c>
      <c r="C22" t="s">
        <v>536</v>
      </c>
      <c r="D22" t="s">
        <v>535</v>
      </c>
      <c r="E22" t="s">
        <v>535</v>
      </c>
      <c r="F22" t="s">
        <v>534</v>
      </c>
      <c r="G22" t="s">
        <v>533</v>
      </c>
      <c r="H22" t="s">
        <v>532</v>
      </c>
      <c r="I22" t="s">
        <v>532</v>
      </c>
      <c r="J22" t="s">
        <v>531</v>
      </c>
    </row>
    <row r="23" spans="1:10" x14ac:dyDescent="0.2">
      <c r="A23">
        <v>20</v>
      </c>
      <c r="B23">
        <v>63</v>
      </c>
      <c r="C23" t="s">
        <v>530</v>
      </c>
      <c r="D23" t="s">
        <v>529</v>
      </c>
      <c r="E23" t="s">
        <v>529</v>
      </c>
      <c r="F23" t="s">
        <v>528</v>
      </c>
      <c r="G23" t="s">
        <v>527</v>
      </c>
      <c r="H23" t="s">
        <v>526</v>
      </c>
      <c r="I23" t="s">
        <v>525</v>
      </c>
      <c r="J23" t="s">
        <v>525</v>
      </c>
    </row>
    <row r="24" spans="1:10" x14ac:dyDescent="0.2">
      <c r="A24">
        <v>21</v>
      </c>
      <c r="B24">
        <v>90</v>
      </c>
      <c r="C24" t="s">
        <v>524</v>
      </c>
      <c r="D24" t="s">
        <v>523</v>
      </c>
      <c r="E24" t="s">
        <v>523</v>
      </c>
      <c r="F24" t="s">
        <v>522</v>
      </c>
      <c r="G24" t="s">
        <v>521</v>
      </c>
      <c r="H24" t="s">
        <v>520</v>
      </c>
      <c r="I24" t="s">
        <v>519</v>
      </c>
      <c r="J24" t="s">
        <v>518</v>
      </c>
    </row>
    <row r="25" spans="1:10" x14ac:dyDescent="0.2">
      <c r="A25">
        <v>22</v>
      </c>
      <c r="B25">
        <v>49</v>
      </c>
      <c r="C25" t="s">
        <v>517</v>
      </c>
      <c r="D25" t="s">
        <v>516</v>
      </c>
      <c r="E25" t="s">
        <v>516</v>
      </c>
      <c r="F25" t="s">
        <v>515</v>
      </c>
      <c r="G25" t="s">
        <v>514</v>
      </c>
      <c r="H25" t="s">
        <v>513</v>
      </c>
      <c r="I25" t="s">
        <v>512</v>
      </c>
      <c r="J25" t="s">
        <v>511</v>
      </c>
    </row>
    <row r="26" spans="1:10" x14ac:dyDescent="0.2">
      <c r="A26">
        <v>23</v>
      </c>
      <c r="B26">
        <v>34</v>
      </c>
      <c r="C26" t="s">
        <v>510</v>
      </c>
      <c r="D26" t="s">
        <v>509</v>
      </c>
      <c r="E26" t="s">
        <v>509</v>
      </c>
      <c r="F26" t="s">
        <v>508</v>
      </c>
      <c r="G26" t="s">
        <v>507</v>
      </c>
      <c r="H26" t="s">
        <v>506</v>
      </c>
      <c r="I26" t="s">
        <v>505</v>
      </c>
      <c r="J26" t="s">
        <v>504</v>
      </c>
    </row>
    <row r="27" spans="1:10" x14ac:dyDescent="0.2">
      <c r="A27">
        <v>24</v>
      </c>
      <c r="B27">
        <v>89</v>
      </c>
      <c r="C27" t="s">
        <v>503</v>
      </c>
      <c r="D27" t="s">
        <v>502</v>
      </c>
      <c r="E27" t="s">
        <v>502</v>
      </c>
      <c r="F27" t="s">
        <v>501</v>
      </c>
      <c r="G27" t="s">
        <v>500</v>
      </c>
      <c r="H27" t="s">
        <v>499</v>
      </c>
      <c r="I27" t="s">
        <v>499</v>
      </c>
      <c r="J27" t="s">
        <v>498</v>
      </c>
    </row>
    <row r="28" spans="1:10" x14ac:dyDescent="0.2">
      <c r="A28">
        <v>25</v>
      </c>
      <c r="B28">
        <v>62</v>
      </c>
      <c r="C28" t="s">
        <v>497</v>
      </c>
      <c r="D28" t="s">
        <v>496</v>
      </c>
      <c r="E28" t="s">
        <v>496</v>
      </c>
      <c r="F28" t="s">
        <v>495</v>
      </c>
      <c r="G28" t="s">
        <v>494</v>
      </c>
      <c r="H28" t="s">
        <v>493</v>
      </c>
      <c r="I28" t="s">
        <v>492</v>
      </c>
      <c r="J28" t="s">
        <v>491</v>
      </c>
    </row>
    <row r="29" spans="1:10" x14ac:dyDescent="0.2">
      <c r="A29">
        <v>26</v>
      </c>
      <c r="B29">
        <v>180</v>
      </c>
      <c r="C29" t="s">
        <v>490</v>
      </c>
      <c r="D29" t="s">
        <v>489</v>
      </c>
      <c r="E29" t="s">
        <v>489</v>
      </c>
      <c r="F29" t="s">
        <v>488</v>
      </c>
      <c r="G29" t="s">
        <v>487</v>
      </c>
      <c r="H29" t="s">
        <v>486</v>
      </c>
      <c r="I29" t="s">
        <v>485</v>
      </c>
      <c r="J29" t="s">
        <v>484</v>
      </c>
    </row>
    <row r="30" spans="1:10" x14ac:dyDescent="0.2">
      <c r="A30">
        <v>27</v>
      </c>
      <c r="B30">
        <v>42</v>
      </c>
      <c r="C30" t="s">
        <v>483</v>
      </c>
      <c r="D30" t="s">
        <v>482</v>
      </c>
      <c r="E30" t="s">
        <v>482</v>
      </c>
      <c r="F30" t="s">
        <v>481</v>
      </c>
      <c r="G30" t="s">
        <v>480</v>
      </c>
      <c r="H30" t="s">
        <v>479</v>
      </c>
      <c r="I30" t="s">
        <v>478</v>
      </c>
      <c r="J30" t="s">
        <v>477</v>
      </c>
    </row>
    <row r="31" spans="1:10" x14ac:dyDescent="0.2">
      <c r="A31">
        <v>28</v>
      </c>
      <c r="B31">
        <v>30</v>
      </c>
      <c r="C31" t="s">
        <v>476</v>
      </c>
      <c r="D31" t="s">
        <v>475</v>
      </c>
      <c r="E31" t="s">
        <v>475</v>
      </c>
      <c r="F31" t="s">
        <v>474</v>
      </c>
      <c r="G31" t="s">
        <v>473</v>
      </c>
      <c r="H31" t="s">
        <v>472</v>
      </c>
      <c r="I31" t="s">
        <v>471</v>
      </c>
      <c r="J31" t="s">
        <v>470</v>
      </c>
    </row>
    <row r="32" spans="1:10" x14ac:dyDescent="0.2">
      <c r="A32">
        <v>29</v>
      </c>
      <c r="B32">
        <v>24</v>
      </c>
      <c r="C32" t="s">
        <v>469</v>
      </c>
      <c r="D32" t="s">
        <v>468</v>
      </c>
      <c r="E32" t="s">
        <v>468</v>
      </c>
      <c r="F32" t="s">
        <v>467</v>
      </c>
      <c r="G32" t="s">
        <v>466</v>
      </c>
      <c r="H32" t="s">
        <v>465</v>
      </c>
      <c r="I32" t="s">
        <v>464</v>
      </c>
      <c r="J32" t="s">
        <v>464</v>
      </c>
    </row>
    <row r="33" spans="1:10" x14ac:dyDescent="0.2">
      <c r="A33">
        <v>30</v>
      </c>
      <c r="B33">
        <v>53</v>
      </c>
      <c r="C33" t="s">
        <v>463</v>
      </c>
      <c r="D33" t="s">
        <v>462</v>
      </c>
      <c r="E33" t="s">
        <v>462</v>
      </c>
      <c r="F33" t="s">
        <v>461</v>
      </c>
      <c r="G33" t="s">
        <v>460</v>
      </c>
      <c r="H33" t="e">
        <f>- additional noise and disruption during building works.</f>
        <v>#NAME?</v>
      </c>
      <c r="I33" t="s">
        <v>459</v>
      </c>
      <c r="J33" t="s">
        <v>458</v>
      </c>
    </row>
    <row r="34" spans="1:10" x14ac:dyDescent="0.2">
      <c r="A34">
        <v>31</v>
      </c>
      <c r="B34">
        <v>138</v>
      </c>
      <c r="C34" t="s">
        <v>457</v>
      </c>
      <c r="D34" t="s">
        <v>456</v>
      </c>
      <c r="E34" t="s">
        <v>456</v>
      </c>
      <c r="F34" t="s">
        <v>455</v>
      </c>
      <c r="G34" t="s">
        <v>454</v>
      </c>
      <c r="H34" t="s">
        <v>453</v>
      </c>
      <c r="I34" t="s">
        <v>452</v>
      </c>
      <c r="J34" t="s">
        <v>451</v>
      </c>
    </row>
    <row r="35" spans="1:10" x14ac:dyDescent="0.2">
      <c r="A35">
        <v>32</v>
      </c>
      <c r="B35">
        <v>33</v>
      </c>
      <c r="C35" t="s">
        <v>450</v>
      </c>
      <c r="D35" t="s">
        <v>449</v>
      </c>
      <c r="E35" t="s">
        <v>449</v>
      </c>
      <c r="F35" t="s">
        <v>448</v>
      </c>
      <c r="G35" t="s">
        <v>447</v>
      </c>
      <c r="H35" t="s">
        <v>446</v>
      </c>
      <c r="I35" t="s">
        <v>445</v>
      </c>
      <c r="J35" t="s">
        <v>444</v>
      </c>
    </row>
    <row r="36" spans="1:10" x14ac:dyDescent="0.2">
      <c r="A36">
        <v>33</v>
      </c>
      <c r="B36">
        <v>103</v>
      </c>
      <c r="C36" t="s">
        <v>443</v>
      </c>
      <c r="D36" t="s">
        <v>442</v>
      </c>
      <c r="E36" t="s">
        <v>442</v>
      </c>
      <c r="F36" t="s">
        <v>441</v>
      </c>
      <c r="G36" t="s">
        <v>440</v>
      </c>
      <c r="H36" t="s">
        <v>439</v>
      </c>
      <c r="I36" t="s">
        <v>438</v>
      </c>
      <c r="J36" t="s">
        <v>437</v>
      </c>
    </row>
    <row r="37" spans="1:10" x14ac:dyDescent="0.2">
      <c r="A37">
        <v>34</v>
      </c>
      <c r="B37">
        <v>41</v>
      </c>
      <c r="C37" t="s">
        <v>436</v>
      </c>
      <c r="D37" t="s">
        <v>435</v>
      </c>
      <c r="E37" t="s">
        <v>435</v>
      </c>
      <c r="F37" t="s">
        <v>434</v>
      </c>
      <c r="G37" t="s">
        <v>433</v>
      </c>
      <c r="H37" t="s">
        <v>432</v>
      </c>
      <c r="I37" t="s">
        <v>431</v>
      </c>
      <c r="J37" t="s">
        <v>430</v>
      </c>
    </row>
    <row r="38" spans="1:10" x14ac:dyDescent="0.2">
      <c r="A38">
        <v>35</v>
      </c>
      <c r="B38">
        <v>56</v>
      </c>
      <c r="C38" t="s">
        <v>429</v>
      </c>
      <c r="D38" t="s">
        <v>428</v>
      </c>
      <c r="E38" t="s">
        <v>428</v>
      </c>
      <c r="F38" t="s">
        <v>427</v>
      </c>
      <c r="G38" t="s">
        <v>426</v>
      </c>
      <c r="H38" t="s">
        <v>425</v>
      </c>
      <c r="I38" t="s">
        <v>424</v>
      </c>
      <c r="J38" t="s">
        <v>423</v>
      </c>
    </row>
    <row r="39" spans="1:10" x14ac:dyDescent="0.2">
      <c r="A39">
        <v>36</v>
      </c>
      <c r="B39">
        <v>73</v>
      </c>
      <c r="C39" t="s">
        <v>422</v>
      </c>
      <c r="D39" t="s">
        <v>421</v>
      </c>
      <c r="E39" t="s">
        <v>421</v>
      </c>
      <c r="F39" t="s">
        <v>420</v>
      </c>
      <c r="G39" t="s">
        <v>419</v>
      </c>
      <c r="H39" t="s">
        <v>418</v>
      </c>
      <c r="I39" t="s">
        <v>417</v>
      </c>
      <c r="J39" t="s">
        <v>416</v>
      </c>
    </row>
    <row r="40" spans="1:10" x14ac:dyDescent="0.2">
      <c r="A40">
        <v>37</v>
      </c>
      <c r="B40">
        <v>148</v>
      </c>
      <c r="C40" t="s">
        <v>415</v>
      </c>
      <c r="D40" t="s">
        <v>414</v>
      </c>
      <c r="E40" t="s">
        <v>414</v>
      </c>
      <c r="F40" t="s">
        <v>413</v>
      </c>
      <c r="G40" t="s">
        <v>412</v>
      </c>
      <c r="H40" t="s">
        <v>411</v>
      </c>
      <c r="I40" t="s">
        <v>410</v>
      </c>
      <c r="J40" t="s">
        <v>409</v>
      </c>
    </row>
    <row r="41" spans="1:10" x14ac:dyDescent="0.2">
      <c r="A41">
        <v>38</v>
      </c>
      <c r="B41">
        <v>24</v>
      </c>
      <c r="C41" t="s">
        <v>408</v>
      </c>
      <c r="D41" t="s">
        <v>407</v>
      </c>
      <c r="E41" t="s">
        <v>407</v>
      </c>
      <c r="F41" t="s">
        <v>406</v>
      </c>
      <c r="G41" t="s">
        <v>405</v>
      </c>
      <c r="H41" t="s">
        <v>404</v>
      </c>
      <c r="I41" t="s">
        <v>403</v>
      </c>
      <c r="J41" t="s">
        <v>403</v>
      </c>
    </row>
    <row r="42" spans="1:10" x14ac:dyDescent="0.2">
      <c r="A42">
        <v>39</v>
      </c>
      <c r="B42">
        <v>37</v>
      </c>
      <c r="C42" t="s">
        <v>402</v>
      </c>
      <c r="D42" t="s">
        <v>401</v>
      </c>
      <c r="E42" t="s">
        <v>401</v>
      </c>
      <c r="F42" t="s">
        <v>400</v>
      </c>
      <c r="G42" t="s">
        <v>399</v>
      </c>
      <c r="H42" t="s">
        <v>398</v>
      </c>
      <c r="I42" t="s">
        <v>397</v>
      </c>
      <c r="J42" t="s">
        <v>396</v>
      </c>
    </row>
    <row r="43" spans="1:10" x14ac:dyDescent="0.2">
      <c r="A43">
        <v>40</v>
      </c>
      <c r="B43">
        <v>25</v>
      </c>
      <c r="C43" t="s">
        <v>395</v>
      </c>
      <c r="D43" t="s">
        <v>394</v>
      </c>
      <c r="E43" t="s">
        <v>394</v>
      </c>
      <c r="F43" t="s">
        <v>393</v>
      </c>
      <c r="G43" t="s">
        <v>392</v>
      </c>
      <c r="H43" t="s">
        <v>391</v>
      </c>
      <c r="I43" t="s">
        <v>390</v>
      </c>
      <c r="J43" t="s">
        <v>389</v>
      </c>
    </row>
    <row r="44" spans="1:10" x14ac:dyDescent="0.2">
      <c r="A44">
        <v>41</v>
      </c>
      <c r="B44">
        <v>26</v>
      </c>
      <c r="C44" t="s">
        <v>388</v>
      </c>
      <c r="D44" t="s">
        <v>387</v>
      </c>
      <c r="E44" t="s">
        <v>387</v>
      </c>
      <c r="F44" t="s">
        <v>386</v>
      </c>
      <c r="G44" t="s">
        <v>385</v>
      </c>
      <c r="H44" t="s">
        <v>384</v>
      </c>
      <c r="I44" t="s">
        <v>383</v>
      </c>
      <c r="J44" t="s">
        <v>382</v>
      </c>
    </row>
    <row r="45" spans="1:10" x14ac:dyDescent="0.2">
      <c r="A45">
        <v>42</v>
      </c>
      <c r="B45">
        <v>33</v>
      </c>
      <c r="C45" t="s">
        <v>381</v>
      </c>
      <c r="D45" t="s">
        <v>380</v>
      </c>
      <c r="E45" t="s">
        <v>380</v>
      </c>
      <c r="F45" t="s">
        <v>379</v>
      </c>
      <c r="G45" t="s">
        <v>378</v>
      </c>
      <c r="H45" t="s">
        <v>377</v>
      </c>
      <c r="I45" t="s">
        <v>376</v>
      </c>
      <c r="J45" t="s">
        <v>375</v>
      </c>
    </row>
    <row r="46" spans="1:10" x14ac:dyDescent="0.2">
      <c r="A46">
        <v>43</v>
      </c>
      <c r="B46">
        <v>43</v>
      </c>
      <c r="C46" t="s">
        <v>374</v>
      </c>
      <c r="D46" t="s">
        <v>373</v>
      </c>
      <c r="E46" t="s">
        <v>373</v>
      </c>
      <c r="F46" t="s">
        <v>372</v>
      </c>
      <c r="G46" t="s">
        <v>371</v>
      </c>
      <c r="H46" t="s">
        <v>370</v>
      </c>
      <c r="I46" t="s">
        <v>369</v>
      </c>
      <c r="J46" t="s">
        <v>368</v>
      </c>
    </row>
    <row r="47" spans="1:10" x14ac:dyDescent="0.2">
      <c r="A47">
        <v>44</v>
      </c>
      <c r="B47">
        <v>24</v>
      </c>
      <c r="C47" t="s">
        <v>367</v>
      </c>
      <c r="D47" t="s">
        <v>366</v>
      </c>
      <c r="E47" t="s">
        <v>366</v>
      </c>
      <c r="F47" t="s">
        <v>365</v>
      </c>
      <c r="G47" t="s">
        <v>364</v>
      </c>
      <c r="H47" t="s">
        <v>363</v>
      </c>
      <c r="I47" t="s">
        <v>362</v>
      </c>
      <c r="J47" t="s">
        <v>361</v>
      </c>
    </row>
    <row r="48" spans="1:10" x14ac:dyDescent="0.2">
      <c r="A48">
        <v>45</v>
      </c>
      <c r="B48">
        <v>23</v>
      </c>
      <c r="C48" t="s">
        <v>360</v>
      </c>
      <c r="D48" t="s">
        <v>359</v>
      </c>
      <c r="E48" t="s">
        <v>359</v>
      </c>
      <c r="F48" t="s">
        <v>358</v>
      </c>
      <c r="G48" t="s">
        <v>357</v>
      </c>
      <c r="H48" t="s">
        <v>356</v>
      </c>
      <c r="I48" t="s">
        <v>356</v>
      </c>
      <c r="J48" t="s">
        <v>356</v>
      </c>
    </row>
    <row r="49" spans="1:10" x14ac:dyDescent="0.2">
      <c r="A49">
        <v>46</v>
      </c>
      <c r="B49">
        <v>1531</v>
      </c>
      <c r="C49" t="s">
        <v>355</v>
      </c>
      <c r="D49" t="s">
        <v>354</v>
      </c>
      <c r="E49" t="s">
        <v>354</v>
      </c>
      <c r="F49" t="s">
        <v>353</v>
      </c>
      <c r="G49" t="s">
        <v>352</v>
      </c>
      <c r="H49" t="s">
        <v>351</v>
      </c>
      <c r="I49" t="s">
        <v>350</v>
      </c>
      <c r="J49" t="s">
        <v>349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A5367-B6BE-CF4A-88B0-3700A5AE853F}">
  <dimension ref="A1:J97"/>
  <sheetViews>
    <sheetView workbookViewId="0"/>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v>-1</v>
      </c>
      <c r="B2">
        <v>1947</v>
      </c>
      <c r="C2" t="s">
        <v>1248</v>
      </c>
      <c r="D2" t="s">
        <v>1247</v>
      </c>
      <c r="E2" t="s">
        <v>1247</v>
      </c>
      <c r="F2" t="s">
        <v>1246</v>
      </c>
      <c r="G2" t="s">
        <v>1245</v>
      </c>
      <c r="H2" t="s">
        <v>1244</v>
      </c>
      <c r="I2" t="s">
        <v>1243</v>
      </c>
      <c r="J2" t="s">
        <v>1242</v>
      </c>
    </row>
    <row r="3" spans="1:10" x14ac:dyDescent="0.2">
      <c r="A3">
        <v>0</v>
      </c>
      <c r="B3">
        <v>33</v>
      </c>
      <c r="C3" t="s">
        <v>1241</v>
      </c>
      <c r="D3" t="s">
        <v>1240</v>
      </c>
      <c r="E3" t="s">
        <v>1240</v>
      </c>
      <c r="F3" t="s">
        <v>1239</v>
      </c>
      <c r="G3" t="s">
        <v>1238</v>
      </c>
      <c r="H3" t="s">
        <v>74</v>
      </c>
      <c r="I3" t="s">
        <v>637</v>
      </c>
      <c r="J3" t="s">
        <v>74</v>
      </c>
    </row>
    <row r="4" spans="1:10" x14ac:dyDescent="0.2">
      <c r="A4">
        <v>1</v>
      </c>
      <c r="B4">
        <v>42</v>
      </c>
      <c r="C4" t="s">
        <v>1237</v>
      </c>
      <c r="D4" t="s">
        <v>1236</v>
      </c>
      <c r="E4" t="s">
        <v>1236</v>
      </c>
      <c r="F4" t="s">
        <v>1235</v>
      </c>
      <c r="G4" t="s">
        <v>1234</v>
      </c>
      <c r="H4" t="s">
        <v>159</v>
      </c>
      <c r="I4" t="s">
        <v>159</v>
      </c>
      <c r="J4" t="s">
        <v>159</v>
      </c>
    </row>
    <row r="5" spans="1:10" x14ac:dyDescent="0.2">
      <c r="A5">
        <v>2</v>
      </c>
      <c r="B5">
        <v>68</v>
      </c>
      <c r="C5" t="s">
        <v>1233</v>
      </c>
      <c r="D5" t="s">
        <v>1232</v>
      </c>
      <c r="E5" t="s">
        <v>1232</v>
      </c>
      <c r="F5" t="s">
        <v>1231</v>
      </c>
      <c r="G5" t="s">
        <v>256</v>
      </c>
      <c r="H5" t="s">
        <v>257</v>
      </c>
      <c r="I5" t="s">
        <v>257</v>
      </c>
      <c r="J5" t="s">
        <v>257</v>
      </c>
    </row>
    <row r="6" spans="1:10" x14ac:dyDescent="0.2">
      <c r="A6">
        <v>3</v>
      </c>
      <c r="B6">
        <v>24</v>
      </c>
      <c r="C6" t="s">
        <v>1230</v>
      </c>
      <c r="D6" t="s">
        <v>1227</v>
      </c>
      <c r="E6" t="s">
        <v>1227</v>
      </c>
      <c r="F6" t="s">
        <v>1226</v>
      </c>
      <c r="G6" t="s">
        <v>1229</v>
      </c>
      <c r="H6" t="s">
        <v>642</v>
      </c>
      <c r="I6" t="s">
        <v>642</v>
      </c>
      <c r="J6" t="s">
        <v>642</v>
      </c>
    </row>
    <row r="7" spans="1:10" x14ac:dyDescent="0.2">
      <c r="A7">
        <v>4</v>
      </c>
      <c r="B7">
        <v>24</v>
      </c>
      <c r="C7" t="s">
        <v>1228</v>
      </c>
      <c r="D7" t="s">
        <v>1227</v>
      </c>
      <c r="E7" t="s">
        <v>1227</v>
      </c>
      <c r="F7" t="s">
        <v>1226</v>
      </c>
      <c r="G7" t="s">
        <v>1225</v>
      </c>
      <c r="H7" t="s">
        <v>643</v>
      </c>
      <c r="I7" t="s">
        <v>1224</v>
      </c>
      <c r="J7" t="s">
        <v>643</v>
      </c>
    </row>
    <row r="8" spans="1:10" x14ac:dyDescent="0.2">
      <c r="A8">
        <v>5</v>
      </c>
      <c r="B8">
        <v>45</v>
      </c>
      <c r="C8" t="s">
        <v>1223</v>
      </c>
      <c r="D8" t="s">
        <v>1222</v>
      </c>
      <c r="E8" t="s">
        <v>1222</v>
      </c>
      <c r="F8" t="s">
        <v>1221</v>
      </c>
      <c r="G8" t="s">
        <v>1220</v>
      </c>
      <c r="H8" t="s">
        <v>1219</v>
      </c>
      <c r="I8" t="s">
        <v>1218</v>
      </c>
      <c r="J8" t="s">
        <v>1218</v>
      </c>
    </row>
    <row r="9" spans="1:10" x14ac:dyDescent="0.2">
      <c r="A9">
        <v>6</v>
      </c>
      <c r="B9">
        <v>24</v>
      </c>
      <c r="C9" t="s">
        <v>1217</v>
      </c>
      <c r="D9" t="s">
        <v>1216</v>
      </c>
      <c r="E9" t="s">
        <v>1216</v>
      </c>
      <c r="F9" t="s">
        <v>1215</v>
      </c>
      <c r="G9" t="s">
        <v>1214</v>
      </c>
      <c r="H9" t="s">
        <v>1213</v>
      </c>
      <c r="I9" t="s">
        <v>1213</v>
      </c>
      <c r="J9" t="s">
        <v>1213</v>
      </c>
    </row>
    <row r="10" spans="1:10" x14ac:dyDescent="0.2">
      <c r="A10">
        <v>7</v>
      </c>
      <c r="B10">
        <v>39</v>
      </c>
      <c r="C10" t="s">
        <v>1212</v>
      </c>
      <c r="D10" t="s">
        <v>1211</v>
      </c>
      <c r="E10" t="s">
        <v>1211</v>
      </c>
      <c r="F10" t="s">
        <v>1210</v>
      </c>
      <c r="G10" t="s">
        <v>1209</v>
      </c>
      <c r="H10" t="s">
        <v>1208</v>
      </c>
      <c r="I10" t="s">
        <v>1207</v>
      </c>
      <c r="J10" t="s">
        <v>1206</v>
      </c>
    </row>
    <row r="11" spans="1:10" x14ac:dyDescent="0.2">
      <c r="A11">
        <v>8</v>
      </c>
      <c r="B11">
        <v>50</v>
      </c>
      <c r="C11" t="s">
        <v>1205</v>
      </c>
      <c r="D11" t="s">
        <v>1204</v>
      </c>
      <c r="E11" t="s">
        <v>1204</v>
      </c>
      <c r="F11" t="s">
        <v>1203</v>
      </c>
      <c r="G11" t="s">
        <v>1202</v>
      </c>
      <c r="H11" t="s">
        <v>1201</v>
      </c>
      <c r="I11" t="s">
        <v>1201</v>
      </c>
      <c r="J11" t="s">
        <v>1201</v>
      </c>
    </row>
    <row r="12" spans="1:10" x14ac:dyDescent="0.2">
      <c r="A12">
        <v>9</v>
      </c>
      <c r="B12">
        <v>31</v>
      </c>
      <c r="C12" t="s">
        <v>1200</v>
      </c>
      <c r="D12" t="s">
        <v>1199</v>
      </c>
      <c r="E12" t="s">
        <v>1199</v>
      </c>
      <c r="F12" t="s">
        <v>1198</v>
      </c>
      <c r="G12" t="s">
        <v>1197</v>
      </c>
      <c r="H12" t="s">
        <v>1196</v>
      </c>
      <c r="I12" t="s">
        <v>1196</v>
      </c>
      <c r="J12" t="s">
        <v>1196</v>
      </c>
    </row>
    <row r="13" spans="1:10" x14ac:dyDescent="0.2">
      <c r="A13">
        <v>10</v>
      </c>
      <c r="B13">
        <v>101</v>
      </c>
      <c r="C13" t="s">
        <v>1195</v>
      </c>
      <c r="D13" t="s">
        <v>1194</v>
      </c>
      <c r="E13" t="s">
        <v>1194</v>
      </c>
      <c r="F13" t="s">
        <v>1193</v>
      </c>
      <c r="G13" t="s">
        <v>1192</v>
      </c>
      <c r="H13" t="s">
        <v>1191</v>
      </c>
      <c r="I13" t="s">
        <v>1190</v>
      </c>
      <c r="J13" t="s">
        <v>1189</v>
      </c>
    </row>
    <row r="14" spans="1:10" x14ac:dyDescent="0.2">
      <c r="A14">
        <v>11</v>
      </c>
      <c r="B14">
        <v>44</v>
      </c>
      <c r="C14" t="s">
        <v>1188</v>
      </c>
      <c r="D14" t="s">
        <v>1187</v>
      </c>
      <c r="E14" t="s">
        <v>1187</v>
      </c>
      <c r="F14" t="s">
        <v>1186</v>
      </c>
      <c r="G14" t="s">
        <v>1185</v>
      </c>
      <c r="H14" t="s">
        <v>1184</v>
      </c>
      <c r="I14" t="s">
        <v>1183</v>
      </c>
      <c r="J14" t="s">
        <v>1182</v>
      </c>
    </row>
    <row r="15" spans="1:10" x14ac:dyDescent="0.2">
      <c r="A15">
        <v>12</v>
      </c>
      <c r="B15">
        <v>25</v>
      </c>
      <c r="C15" t="s">
        <v>1181</v>
      </c>
      <c r="D15" t="s">
        <v>1180</v>
      </c>
      <c r="E15" t="s">
        <v>1180</v>
      </c>
      <c r="F15" t="s">
        <v>1179</v>
      </c>
      <c r="G15" t="s">
        <v>1178</v>
      </c>
      <c r="H15" t="s">
        <v>1177</v>
      </c>
      <c r="I15" t="s">
        <v>1176</v>
      </c>
      <c r="J15" t="s">
        <v>1175</v>
      </c>
    </row>
    <row r="16" spans="1:10" x14ac:dyDescent="0.2">
      <c r="A16">
        <v>13</v>
      </c>
      <c r="B16">
        <v>29</v>
      </c>
      <c r="C16" t="s">
        <v>1174</v>
      </c>
      <c r="D16" t="s">
        <v>1173</v>
      </c>
      <c r="E16" t="s">
        <v>1173</v>
      </c>
      <c r="F16" t="s">
        <v>1172</v>
      </c>
      <c r="G16" t="s">
        <v>1171</v>
      </c>
      <c r="H16" t="s">
        <v>1170</v>
      </c>
      <c r="I16" t="s">
        <v>1169</v>
      </c>
      <c r="J16" t="e">
        <f>- the choice of red zinc for the roofs is unusual for housing and could be reconsidered. zinc sheets do not relate to local housing styles but more to the recent undesirable industrial units on the site now being removed. the older historical industrial buildings have slate roofs. relative to roof tiles or slates, zinc sheets may be more difficult for residents to maintain, and often create internal noise transmission problems when it rains unless properly sealed with acoustic insulation.</f>
        <v>#NAME?</v>
      </c>
    </row>
    <row r="17" spans="1:10" x14ac:dyDescent="0.2">
      <c r="A17">
        <v>14</v>
      </c>
      <c r="B17">
        <v>31</v>
      </c>
      <c r="C17" t="s">
        <v>1168</v>
      </c>
      <c r="D17" t="s">
        <v>1167</v>
      </c>
      <c r="E17" t="s">
        <v>1167</v>
      </c>
      <c r="F17" t="s">
        <v>1166</v>
      </c>
      <c r="G17" t="s">
        <v>1165</v>
      </c>
      <c r="H17" t="s">
        <v>1164</v>
      </c>
      <c r="I17" t="s">
        <v>1164</v>
      </c>
      <c r="J17" t="s">
        <v>1164</v>
      </c>
    </row>
    <row r="18" spans="1:10" x14ac:dyDescent="0.2">
      <c r="A18">
        <v>15</v>
      </c>
      <c r="B18">
        <v>53</v>
      </c>
      <c r="C18" t="s">
        <v>1163</v>
      </c>
      <c r="D18" t="s">
        <v>1162</v>
      </c>
      <c r="E18" t="s">
        <v>1162</v>
      </c>
      <c r="F18" t="s">
        <v>1161</v>
      </c>
      <c r="G18" t="s">
        <v>1160</v>
      </c>
      <c r="H18" t="s">
        <v>1159</v>
      </c>
      <c r="I18" t="s">
        <v>1158</v>
      </c>
      <c r="J18" t="s">
        <v>1157</v>
      </c>
    </row>
    <row r="19" spans="1:10" x14ac:dyDescent="0.2">
      <c r="A19">
        <v>16</v>
      </c>
      <c r="B19">
        <v>41</v>
      </c>
      <c r="C19" t="s">
        <v>1156</v>
      </c>
      <c r="D19" t="s">
        <v>1155</v>
      </c>
      <c r="E19" t="s">
        <v>1155</v>
      </c>
      <c r="F19" t="s">
        <v>1154</v>
      </c>
      <c r="G19" t="s">
        <v>1153</v>
      </c>
      <c r="H19" t="s">
        <v>1152</v>
      </c>
      <c r="I19" t="s">
        <v>1151</v>
      </c>
      <c r="J19" t="s">
        <v>1150</v>
      </c>
    </row>
    <row r="20" spans="1:10" x14ac:dyDescent="0.2">
      <c r="A20">
        <v>17</v>
      </c>
      <c r="B20">
        <v>21</v>
      </c>
      <c r="C20" t="s">
        <v>1149</v>
      </c>
      <c r="D20" t="s">
        <v>1148</v>
      </c>
      <c r="E20" t="s">
        <v>1148</v>
      </c>
      <c r="F20" t="s">
        <v>1147</v>
      </c>
      <c r="G20" t="s">
        <v>1146</v>
      </c>
      <c r="H20" t="s">
        <v>1145</v>
      </c>
      <c r="I20" t="s">
        <v>1145</v>
      </c>
      <c r="J20" t="s">
        <v>1145</v>
      </c>
    </row>
    <row r="21" spans="1:10" x14ac:dyDescent="0.2">
      <c r="A21">
        <v>18</v>
      </c>
      <c r="B21">
        <v>53</v>
      </c>
      <c r="C21" t="s">
        <v>1144</v>
      </c>
      <c r="D21" t="s">
        <v>1143</v>
      </c>
      <c r="E21" t="s">
        <v>1143</v>
      </c>
      <c r="F21" t="s">
        <v>1142</v>
      </c>
      <c r="G21" t="s">
        <v>1141</v>
      </c>
      <c r="H21" t="s">
        <v>1140</v>
      </c>
      <c r="I21" t="s">
        <v>1139</v>
      </c>
      <c r="J21" t="s">
        <v>1138</v>
      </c>
    </row>
    <row r="22" spans="1:10" x14ac:dyDescent="0.2">
      <c r="A22">
        <v>19</v>
      </c>
      <c r="B22">
        <v>46</v>
      </c>
      <c r="C22" t="s">
        <v>1137</v>
      </c>
      <c r="D22" t="s">
        <v>1136</v>
      </c>
      <c r="E22" t="s">
        <v>1136</v>
      </c>
      <c r="F22" t="s">
        <v>1135</v>
      </c>
      <c r="G22" t="s">
        <v>1134</v>
      </c>
      <c r="H22" t="s">
        <v>1133</v>
      </c>
      <c r="I22" t="s">
        <v>1132</v>
      </c>
      <c r="J22" t="s">
        <v>1132</v>
      </c>
    </row>
    <row r="23" spans="1:10" x14ac:dyDescent="0.2">
      <c r="A23">
        <v>20</v>
      </c>
      <c r="B23">
        <v>49</v>
      </c>
      <c r="C23" t="s">
        <v>1131</v>
      </c>
      <c r="D23" t="s">
        <v>1130</v>
      </c>
      <c r="E23" t="s">
        <v>1130</v>
      </c>
      <c r="F23" t="s">
        <v>1129</v>
      </c>
      <c r="G23" t="s">
        <v>1128</v>
      </c>
      <c r="H23" t="s">
        <v>1127</v>
      </c>
      <c r="I23" t="s">
        <v>1127</v>
      </c>
      <c r="J23" t="s">
        <v>558</v>
      </c>
    </row>
    <row r="24" spans="1:10" x14ac:dyDescent="0.2">
      <c r="A24">
        <v>21</v>
      </c>
      <c r="B24">
        <v>159</v>
      </c>
      <c r="C24" t="s">
        <v>1126</v>
      </c>
      <c r="D24" t="s">
        <v>1125</v>
      </c>
      <c r="E24" t="s">
        <v>1125</v>
      </c>
      <c r="F24" t="s">
        <v>1124</v>
      </c>
      <c r="G24" t="s">
        <v>1123</v>
      </c>
      <c r="H24" t="s">
        <v>1122</v>
      </c>
      <c r="I24" t="s">
        <v>1121</v>
      </c>
      <c r="J24" t="s">
        <v>1120</v>
      </c>
    </row>
    <row r="25" spans="1:10" x14ac:dyDescent="0.2">
      <c r="A25">
        <v>22</v>
      </c>
      <c r="B25">
        <v>53</v>
      </c>
      <c r="C25" t="s">
        <v>1119</v>
      </c>
      <c r="D25" t="s">
        <v>1118</v>
      </c>
      <c r="E25" t="s">
        <v>1118</v>
      </c>
      <c r="F25" t="s">
        <v>1117</v>
      </c>
      <c r="G25" t="s">
        <v>1116</v>
      </c>
      <c r="H25" t="s">
        <v>1115</v>
      </c>
      <c r="I25" t="s">
        <v>1114</v>
      </c>
      <c r="J25" t="s">
        <v>1113</v>
      </c>
    </row>
    <row r="26" spans="1:10" x14ac:dyDescent="0.2">
      <c r="A26">
        <v>23</v>
      </c>
      <c r="B26">
        <v>39</v>
      </c>
      <c r="C26" t="s">
        <v>1112</v>
      </c>
      <c r="D26" t="s">
        <v>1111</v>
      </c>
      <c r="E26" t="s">
        <v>1111</v>
      </c>
      <c r="F26" t="s">
        <v>1110</v>
      </c>
      <c r="G26" t="s">
        <v>1109</v>
      </c>
      <c r="H26" t="s">
        <v>1108</v>
      </c>
      <c r="I26" t="s">
        <v>1108</v>
      </c>
      <c r="J26" t="s">
        <v>1107</v>
      </c>
    </row>
    <row r="27" spans="1:10" x14ac:dyDescent="0.2">
      <c r="A27">
        <v>24</v>
      </c>
      <c r="B27">
        <v>54</v>
      </c>
      <c r="C27" t="s">
        <v>1106</v>
      </c>
      <c r="D27" t="s">
        <v>1105</v>
      </c>
      <c r="E27" t="s">
        <v>1105</v>
      </c>
      <c r="F27" t="s">
        <v>1104</v>
      </c>
      <c r="G27" t="s">
        <v>1103</v>
      </c>
      <c r="H27" t="s">
        <v>1102</v>
      </c>
      <c r="I27" t="s">
        <v>1101</v>
      </c>
      <c r="J27" t="s">
        <v>1101</v>
      </c>
    </row>
    <row r="28" spans="1:10" x14ac:dyDescent="0.2">
      <c r="A28">
        <v>25</v>
      </c>
      <c r="B28">
        <v>28</v>
      </c>
      <c r="C28" t="s">
        <v>1100</v>
      </c>
      <c r="D28" t="s">
        <v>1099</v>
      </c>
      <c r="E28" t="s">
        <v>1099</v>
      </c>
      <c r="F28" t="s">
        <v>1098</v>
      </c>
      <c r="G28" t="s">
        <v>1097</v>
      </c>
      <c r="H28" t="s">
        <v>1096</v>
      </c>
      <c r="I28" t="s">
        <v>1095</v>
      </c>
      <c r="J28" t="s">
        <v>1094</v>
      </c>
    </row>
    <row r="29" spans="1:10" x14ac:dyDescent="0.2">
      <c r="A29">
        <v>26</v>
      </c>
      <c r="B29">
        <v>58</v>
      </c>
      <c r="C29" t="s">
        <v>1093</v>
      </c>
      <c r="D29" t="s">
        <v>1092</v>
      </c>
      <c r="E29" t="s">
        <v>1092</v>
      </c>
      <c r="F29" t="s">
        <v>1091</v>
      </c>
      <c r="G29" t="s">
        <v>1090</v>
      </c>
      <c r="H29" t="s">
        <v>1089</v>
      </c>
      <c r="I29" t="s">
        <v>1089</v>
      </c>
      <c r="J29" t="s">
        <v>1088</v>
      </c>
    </row>
    <row r="30" spans="1:10" x14ac:dyDescent="0.2">
      <c r="A30">
        <v>27</v>
      </c>
      <c r="B30">
        <v>52</v>
      </c>
      <c r="C30" t="s">
        <v>1087</v>
      </c>
      <c r="D30" t="s">
        <v>1086</v>
      </c>
      <c r="E30" t="s">
        <v>1086</v>
      </c>
      <c r="F30" t="s">
        <v>1085</v>
      </c>
      <c r="G30" t="s">
        <v>1084</v>
      </c>
      <c r="H30" t="s">
        <v>1083</v>
      </c>
      <c r="I30" t="s">
        <v>1082</v>
      </c>
      <c r="J30" t="s">
        <v>1081</v>
      </c>
    </row>
    <row r="31" spans="1:10" x14ac:dyDescent="0.2">
      <c r="A31">
        <v>28</v>
      </c>
      <c r="B31">
        <v>31</v>
      </c>
      <c r="C31" t="s">
        <v>1080</v>
      </c>
      <c r="D31" t="s">
        <v>1079</v>
      </c>
      <c r="E31" t="s">
        <v>1079</v>
      </c>
      <c r="F31" t="s">
        <v>1078</v>
      </c>
      <c r="G31" t="s">
        <v>1077</v>
      </c>
      <c r="H31" t="s">
        <v>1076</v>
      </c>
      <c r="I31" t="s">
        <v>1075</v>
      </c>
      <c r="J31" t="s">
        <v>1074</v>
      </c>
    </row>
    <row r="32" spans="1:10" x14ac:dyDescent="0.2">
      <c r="A32">
        <v>29</v>
      </c>
      <c r="B32">
        <v>40</v>
      </c>
      <c r="C32" t="s">
        <v>1073</v>
      </c>
      <c r="D32" t="s">
        <v>1072</v>
      </c>
      <c r="E32" t="s">
        <v>1072</v>
      </c>
      <c r="F32" t="s">
        <v>1071</v>
      </c>
      <c r="G32" t="s">
        <v>1070</v>
      </c>
      <c r="H32" t="s">
        <v>594</v>
      </c>
      <c r="I32" t="s">
        <v>1069</v>
      </c>
      <c r="J32" t="s">
        <v>622</v>
      </c>
    </row>
    <row r="33" spans="1:10" x14ac:dyDescent="0.2">
      <c r="A33">
        <v>30</v>
      </c>
      <c r="B33">
        <v>27</v>
      </c>
      <c r="C33" t="s">
        <v>1068</v>
      </c>
      <c r="D33" t="s">
        <v>1067</v>
      </c>
      <c r="E33" t="s">
        <v>1067</v>
      </c>
      <c r="F33" t="s">
        <v>1066</v>
      </c>
      <c r="G33" t="s">
        <v>1065</v>
      </c>
      <c r="H33" t="s">
        <v>1064</v>
      </c>
      <c r="I33" t="s">
        <v>1063</v>
      </c>
      <c r="J33" t="s">
        <v>1063</v>
      </c>
    </row>
    <row r="34" spans="1:10" x14ac:dyDescent="0.2">
      <c r="A34">
        <v>31</v>
      </c>
      <c r="B34">
        <v>38</v>
      </c>
      <c r="C34" t="s">
        <v>1062</v>
      </c>
      <c r="D34" t="s">
        <v>1061</v>
      </c>
      <c r="E34" t="s">
        <v>1061</v>
      </c>
      <c r="F34" t="s">
        <v>1060</v>
      </c>
      <c r="G34" t="s">
        <v>1059</v>
      </c>
      <c r="H34" t="s">
        <v>1058</v>
      </c>
      <c r="I34" t="s">
        <v>1057</v>
      </c>
      <c r="J34" t="s">
        <v>1056</v>
      </c>
    </row>
    <row r="35" spans="1:10" x14ac:dyDescent="0.2">
      <c r="A35">
        <v>32</v>
      </c>
      <c r="B35">
        <v>47</v>
      </c>
      <c r="C35" t="s">
        <v>1055</v>
      </c>
      <c r="D35" t="s">
        <v>1054</v>
      </c>
      <c r="E35" t="s">
        <v>1054</v>
      </c>
      <c r="F35" t="s">
        <v>1053</v>
      </c>
      <c r="G35" t="s">
        <v>1052</v>
      </c>
      <c r="H35" t="s">
        <v>1051</v>
      </c>
      <c r="I35" t="s">
        <v>1050</v>
      </c>
      <c r="J35" t="s">
        <v>1049</v>
      </c>
    </row>
    <row r="36" spans="1:10" x14ac:dyDescent="0.2">
      <c r="A36">
        <v>33</v>
      </c>
      <c r="B36">
        <v>24</v>
      </c>
      <c r="C36" t="s">
        <v>1048</v>
      </c>
      <c r="D36" t="s">
        <v>1047</v>
      </c>
      <c r="E36" t="s">
        <v>1047</v>
      </c>
      <c r="F36" t="s">
        <v>1046</v>
      </c>
      <c r="G36" t="s">
        <v>1045</v>
      </c>
      <c r="H36" t="s">
        <v>1044</v>
      </c>
      <c r="I36" t="s">
        <v>1043</v>
      </c>
      <c r="J36" t="s">
        <v>1042</v>
      </c>
    </row>
    <row r="37" spans="1:10" x14ac:dyDescent="0.2">
      <c r="A37">
        <v>34</v>
      </c>
      <c r="B37">
        <v>27</v>
      </c>
      <c r="C37" t="s">
        <v>1041</v>
      </c>
      <c r="D37" t="s">
        <v>1040</v>
      </c>
      <c r="E37" t="s">
        <v>1040</v>
      </c>
      <c r="F37" t="s">
        <v>1039</v>
      </c>
      <c r="G37" t="s">
        <v>1038</v>
      </c>
      <c r="H37" t="s">
        <v>1037</v>
      </c>
      <c r="I37" t="s">
        <v>1036</v>
      </c>
      <c r="J37" t="s">
        <v>1035</v>
      </c>
    </row>
    <row r="38" spans="1:10" x14ac:dyDescent="0.2">
      <c r="A38">
        <v>35</v>
      </c>
      <c r="B38">
        <v>26</v>
      </c>
      <c r="C38" t="s">
        <v>1034</v>
      </c>
      <c r="D38" t="s">
        <v>1033</v>
      </c>
      <c r="E38" t="s">
        <v>1033</v>
      </c>
      <c r="F38" t="s">
        <v>1032</v>
      </c>
      <c r="G38" t="s">
        <v>1031</v>
      </c>
      <c r="H38" t="s">
        <v>1030</v>
      </c>
      <c r="I38" t="s">
        <v>1029</v>
      </c>
      <c r="J38" t="s">
        <v>1029</v>
      </c>
    </row>
    <row r="39" spans="1:10" x14ac:dyDescent="0.2">
      <c r="A39">
        <v>36</v>
      </c>
      <c r="B39">
        <v>26</v>
      </c>
      <c r="C39" t="s">
        <v>1028</v>
      </c>
      <c r="D39" t="s">
        <v>1027</v>
      </c>
      <c r="E39" t="s">
        <v>1027</v>
      </c>
      <c r="F39" t="s">
        <v>1026</v>
      </c>
      <c r="G39" t="s">
        <v>1025</v>
      </c>
      <c r="H39" t="s">
        <v>1024</v>
      </c>
      <c r="I39" t="s">
        <v>1023</v>
      </c>
      <c r="J39" t="s">
        <v>1022</v>
      </c>
    </row>
    <row r="40" spans="1:10" x14ac:dyDescent="0.2">
      <c r="A40">
        <v>37</v>
      </c>
      <c r="B40">
        <v>27</v>
      </c>
      <c r="C40" t="s">
        <v>1021</v>
      </c>
      <c r="D40" t="s">
        <v>1020</v>
      </c>
      <c r="E40" t="s">
        <v>1020</v>
      </c>
      <c r="F40" t="s">
        <v>1019</v>
      </c>
      <c r="G40" t="s">
        <v>1018</v>
      </c>
      <c r="H40" t="s">
        <v>1017</v>
      </c>
      <c r="I40" t="s">
        <v>1016</v>
      </c>
      <c r="J40" t="s">
        <v>1015</v>
      </c>
    </row>
    <row r="41" spans="1:10" x14ac:dyDescent="0.2">
      <c r="A41">
        <v>38</v>
      </c>
      <c r="B41">
        <v>46</v>
      </c>
      <c r="C41" t="s">
        <v>1014</v>
      </c>
      <c r="D41" t="s">
        <v>1013</v>
      </c>
      <c r="E41" t="s">
        <v>1013</v>
      </c>
      <c r="F41" t="s">
        <v>1012</v>
      </c>
      <c r="G41" t="s">
        <v>1011</v>
      </c>
      <c r="H41" t="s">
        <v>1010</v>
      </c>
      <c r="I41" t="s">
        <v>1010</v>
      </c>
      <c r="J41" t="s">
        <v>1010</v>
      </c>
    </row>
    <row r="42" spans="1:10" x14ac:dyDescent="0.2">
      <c r="A42">
        <v>39</v>
      </c>
      <c r="B42">
        <v>53</v>
      </c>
      <c r="C42" t="s">
        <v>1009</v>
      </c>
      <c r="D42" t="s">
        <v>1008</v>
      </c>
      <c r="E42" t="s">
        <v>1008</v>
      </c>
      <c r="F42" t="s">
        <v>1007</v>
      </c>
      <c r="G42" t="s">
        <v>1006</v>
      </c>
      <c r="H42" t="s">
        <v>1005</v>
      </c>
      <c r="I42" t="s">
        <v>1004</v>
      </c>
      <c r="J42" t="s">
        <v>1003</v>
      </c>
    </row>
    <row r="43" spans="1:10" x14ac:dyDescent="0.2">
      <c r="A43">
        <v>40</v>
      </c>
      <c r="B43">
        <v>26</v>
      </c>
      <c r="C43" t="s">
        <v>1002</v>
      </c>
      <c r="D43" t="s">
        <v>1001</v>
      </c>
      <c r="E43" t="s">
        <v>1001</v>
      </c>
      <c r="F43" t="s">
        <v>1000</v>
      </c>
      <c r="G43" t="s">
        <v>999</v>
      </c>
      <c r="H43" t="s">
        <v>998</v>
      </c>
      <c r="I43" t="s">
        <v>998</v>
      </c>
      <c r="J43" t="s">
        <v>997</v>
      </c>
    </row>
    <row r="44" spans="1:10" x14ac:dyDescent="0.2">
      <c r="A44">
        <v>41</v>
      </c>
      <c r="B44">
        <v>26</v>
      </c>
      <c r="C44" t="s">
        <v>996</v>
      </c>
      <c r="D44" t="s">
        <v>995</v>
      </c>
      <c r="E44" t="s">
        <v>995</v>
      </c>
      <c r="F44" t="s">
        <v>994</v>
      </c>
      <c r="G44" t="s">
        <v>993</v>
      </c>
      <c r="H44" t="s">
        <v>992</v>
      </c>
      <c r="I44" t="s">
        <v>991</v>
      </c>
      <c r="J44" t="s">
        <v>990</v>
      </c>
    </row>
    <row r="45" spans="1:10" x14ac:dyDescent="0.2">
      <c r="A45">
        <v>42</v>
      </c>
      <c r="B45">
        <v>38</v>
      </c>
      <c r="C45" t="s">
        <v>989</v>
      </c>
      <c r="D45" t="s">
        <v>988</v>
      </c>
      <c r="E45" t="s">
        <v>988</v>
      </c>
      <c r="F45" t="s">
        <v>987</v>
      </c>
      <c r="G45" t="s">
        <v>986</v>
      </c>
      <c r="H45" t="s">
        <v>985</v>
      </c>
      <c r="I45" t="s">
        <v>984</v>
      </c>
      <c r="J45" t="s">
        <v>984</v>
      </c>
    </row>
    <row r="46" spans="1:10" x14ac:dyDescent="0.2">
      <c r="A46">
        <v>43</v>
      </c>
      <c r="B46">
        <v>26</v>
      </c>
      <c r="C46" t="s">
        <v>983</v>
      </c>
      <c r="D46" t="s">
        <v>982</v>
      </c>
      <c r="E46" t="s">
        <v>982</v>
      </c>
      <c r="F46" t="s">
        <v>981</v>
      </c>
      <c r="G46" t="s">
        <v>980</v>
      </c>
      <c r="H46" t="s">
        <v>979</v>
      </c>
      <c r="I46" t="s">
        <v>978</v>
      </c>
      <c r="J46" t="s">
        <v>978</v>
      </c>
    </row>
    <row r="47" spans="1:10" x14ac:dyDescent="0.2">
      <c r="A47">
        <v>44</v>
      </c>
      <c r="B47">
        <v>52</v>
      </c>
      <c r="C47" t="s">
        <v>977</v>
      </c>
      <c r="D47" t="s">
        <v>976</v>
      </c>
      <c r="E47" t="s">
        <v>976</v>
      </c>
      <c r="F47" t="s">
        <v>975</v>
      </c>
      <c r="G47" t="s">
        <v>974</v>
      </c>
      <c r="H47" t="s">
        <v>973</v>
      </c>
      <c r="I47" t="s">
        <v>972</v>
      </c>
      <c r="J47" t="s">
        <v>971</v>
      </c>
    </row>
    <row r="48" spans="1:10" x14ac:dyDescent="0.2">
      <c r="A48">
        <v>45</v>
      </c>
      <c r="B48">
        <v>22</v>
      </c>
      <c r="C48" t="s">
        <v>970</v>
      </c>
      <c r="D48" t="s">
        <v>969</v>
      </c>
      <c r="E48" t="s">
        <v>969</v>
      </c>
      <c r="F48" t="s">
        <v>968</v>
      </c>
      <c r="G48" t="s">
        <v>967</v>
      </c>
      <c r="H48" t="s">
        <v>966</v>
      </c>
      <c r="I48" t="s">
        <v>965</v>
      </c>
      <c r="J48" t="s">
        <v>964</v>
      </c>
    </row>
    <row r="49" spans="1:10" x14ac:dyDescent="0.2">
      <c r="A49">
        <v>46</v>
      </c>
      <c r="B49">
        <v>21</v>
      </c>
      <c r="C49" t="s">
        <v>963</v>
      </c>
      <c r="D49" t="s">
        <v>962</v>
      </c>
      <c r="E49" t="s">
        <v>962</v>
      </c>
      <c r="F49" t="s">
        <v>961</v>
      </c>
      <c r="G49" t="s">
        <v>960</v>
      </c>
      <c r="H49" t="s">
        <v>959</v>
      </c>
      <c r="I49" t="s">
        <v>958</v>
      </c>
      <c r="J49" t="s">
        <v>958</v>
      </c>
    </row>
    <row r="50" spans="1:10" x14ac:dyDescent="0.2">
      <c r="A50">
        <v>47</v>
      </c>
      <c r="B50">
        <v>23</v>
      </c>
      <c r="C50" t="s">
        <v>957</v>
      </c>
      <c r="D50" t="s">
        <v>956</v>
      </c>
      <c r="E50" t="s">
        <v>956</v>
      </c>
      <c r="F50" t="s">
        <v>955</v>
      </c>
      <c r="G50" t="s">
        <v>954</v>
      </c>
      <c r="H50" t="s">
        <v>953</v>
      </c>
      <c r="I50" t="s">
        <v>953</v>
      </c>
      <c r="J50" t="s">
        <v>952</v>
      </c>
    </row>
    <row r="51" spans="1:10" x14ac:dyDescent="0.2">
      <c r="A51">
        <v>48</v>
      </c>
      <c r="B51">
        <v>65</v>
      </c>
      <c r="C51" t="s">
        <v>951</v>
      </c>
      <c r="D51" t="s">
        <v>950</v>
      </c>
      <c r="E51" t="s">
        <v>950</v>
      </c>
      <c r="F51" t="s">
        <v>949</v>
      </c>
      <c r="G51" t="s">
        <v>948</v>
      </c>
      <c r="H51" t="s">
        <v>947</v>
      </c>
      <c r="I51" t="s">
        <v>946</v>
      </c>
      <c r="J51" t="s">
        <v>945</v>
      </c>
    </row>
    <row r="52" spans="1:10" x14ac:dyDescent="0.2">
      <c r="A52">
        <v>49</v>
      </c>
      <c r="B52">
        <v>21</v>
      </c>
      <c r="C52" t="s">
        <v>944</v>
      </c>
      <c r="D52" t="s">
        <v>943</v>
      </c>
      <c r="E52" t="s">
        <v>943</v>
      </c>
      <c r="F52" t="s">
        <v>942</v>
      </c>
      <c r="G52" t="s">
        <v>941</v>
      </c>
      <c r="H52" t="s">
        <v>940</v>
      </c>
      <c r="I52" t="s">
        <v>939</v>
      </c>
      <c r="J52" t="s">
        <v>938</v>
      </c>
    </row>
    <row r="53" spans="1:10" x14ac:dyDescent="0.2">
      <c r="A53">
        <v>50</v>
      </c>
      <c r="B53">
        <v>42</v>
      </c>
      <c r="C53" t="s">
        <v>937</v>
      </c>
      <c r="D53" t="s">
        <v>936</v>
      </c>
      <c r="E53" t="s">
        <v>936</v>
      </c>
      <c r="F53" t="s">
        <v>935</v>
      </c>
      <c r="G53" t="s">
        <v>934</v>
      </c>
      <c r="H53" t="s">
        <v>933</v>
      </c>
      <c r="I53" t="s">
        <v>932</v>
      </c>
      <c r="J53" t="s">
        <v>931</v>
      </c>
    </row>
    <row r="54" spans="1:10" x14ac:dyDescent="0.2">
      <c r="A54">
        <v>51</v>
      </c>
      <c r="B54">
        <v>27</v>
      </c>
      <c r="C54" t="s">
        <v>930</v>
      </c>
      <c r="D54" t="s">
        <v>929</v>
      </c>
      <c r="E54" t="s">
        <v>929</v>
      </c>
      <c r="F54" t="s">
        <v>928</v>
      </c>
      <c r="G54" t="s">
        <v>927</v>
      </c>
      <c r="H54" t="s">
        <v>925</v>
      </c>
      <c r="I54" t="s">
        <v>926</v>
      </c>
      <c r="J54" t="s">
        <v>925</v>
      </c>
    </row>
    <row r="55" spans="1:10" x14ac:dyDescent="0.2">
      <c r="A55">
        <v>52</v>
      </c>
      <c r="B55">
        <v>36</v>
      </c>
      <c r="C55" t="s">
        <v>924</v>
      </c>
      <c r="D55" t="s">
        <v>923</v>
      </c>
      <c r="E55" t="s">
        <v>923</v>
      </c>
      <c r="F55" t="s">
        <v>922</v>
      </c>
      <c r="G55" t="s">
        <v>921</v>
      </c>
      <c r="H55" t="s">
        <v>920</v>
      </c>
      <c r="I55" t="s">
        <v>919</v>
      </c>
      <c r="J55" t="s">
        <v>918</v>
      </c>
    </row>
    <row r="56" spans="1:10" x14ac:dyDescent="0.2">
      <c r="A56">
        <v>53</v>
      </c>
      <c r="B56">
        <v>99</v>
      </c>
      <c r="C56" t="s">
        <v>917</v>
      </c>
      <c r="D56" t="s">
        <v>916</v>
      </c>
      <c r="E56" t="s">
        <v>916</v>
      </c>
      <c r="F56" t="s">
        <v>915</v>
      </c>
      <c r="G56" t="s">
        <v>914</v>
      </c>
      <c r="H56" t="s">
        <v>913</v>
      </c>
      <c r="I56" t="s">
        <v>912</v>
      </c>
      <c r="J56" t="s">
        <v>485</v>
      </c>
    </row>
    <row r="57" spans="1:10" x14ac:dyDescent="0.2">
      <c r="A57">
        <v>54</v>
      </c>
      <c r="B57">
        <v>55</v>
      </c>
      <c r="C57" t="s">
        <v>911</v>
      </c>
      <c r="D57" t="s">
        <v>910</v>
      </c>
      <c r="E57" t="s">
        <v>910</v>
      </c>
      <c r="F57" t="s">
        <v>909</v>
      </c>
      <c r="G57" t="s">
        <v>908</v>
      </c>
      <c r="H57" t="s">
        <v>907</v>
      </c>
      <c r="I57" t="s">
        <v>906</v>
      </c>
      <c r="J57" t="s">
        <v>905</v>
      </c>
    </row>
    <row r="58" spans="1:10" x14ac:dyDescent="0.2">
      <c r="A58">
        <v>55</v>
      </c>
      <c r="B58">
        <v>32</v>
      </c>
      <c r="C58" t="s">
        <v>904</v>
      </c>
      <c r="D58" t="s">
        <v>903</v>
      </c>
      <c r="E58" t="s">
        <v>903</v>
      </c>
      <c r="F58" t="s">
        <v>902</v>
      </c>
      <c r="G58" t="s">
        <v>901</v>
      </c>
      <c r="H58" t="s">
        <v>900</v>
      </c>
      <c r="I58" t="s">
        <v>899</v>
      </c>
      <c r="J58" t="s">
        <v>898</v>
      </c>
    </row>
    <row r="59" spans="1:10" x14ac:dyDescent="0.2">
      <c r="A59">
        <v>56</v>
      </c>
      <c r="B59">
        <v>27</v>
      </c>
      <c r="C59" t="s">
        <v>897</v>
      </c>
      <c r="D59" t="s">
        <v>896</v>
      </c>
      <c r="E59" t="s">
        <v>896</v>
      </c>
      <c r="F59" t="s">
        <v>895</v>
      </c>
      <c r="G59" t="s">
        <v>894</v>
      </c>
      <c r="H59" t="s">
        <v>893</v>
      </c>
      <c r="I59" t="s">
        <v>892</v>
      </c>
      <c r="J59" t="s">
        <v>891</v>
      </c>
    </row>
    <row r="60" spans="1:10" x14ac:dyDescent="0.2">
      <c r="A60">
        <v>57</v>
      </c>
      <c r="B60">
        <v>36</v>
      </c>
      <c r="C60" t="s">
        <v>890</v>
      </c>
      <c r="D60" t="s">
        <v>889</v>
      </c>
      <c r="E60" t="s">
        <v>889</v>
      </c>
      <c r="F60" t="s">
        <v>888</v>
      </c>
      <c r="G60" t="s">
        <v>887</v>
      </c>
      <c r="H60" t="s">
        <v>886</v>
      </c>
      <c r="I60" t="e">
        <f>- the development is car free and has lots of bike parking which is great for the environment and local area and nearby shops transport wise.</f>
        <v>#NAME?</v>
      </c>
      <c r="J60" t="s">
        <v>885</v>
      </c>
    </row>
    <row r="61" spans="1:10" x14ac:dyDescent="0.2">
      <c r="A61">
        <v>58</v>
      </c>
      <c r="B61">
        <v>27</v>
      </c>
      <c r="C61" t="s">
        <v>884</v>
      </c>
      <c r="D61" t="s">
        <v>883</v>
      </c>
      <c r="E61" t="s">
        <v>883</v>
      </c>
      <c r="F61" t="s">
        <v>882</v>
      </c>
      <c r="G61" t="s">
        <v>881</v>
      </c>
      <c r="H61" t="s">
        <v>880</v>
      </c>
      <c r="I61" t="s">
        <v>880</v>
      </c>
      <c r="J61" t="s">
        <v>879</v>
      </c>
    </row>
    <row r="62" spans="1:10" x14ac:dyDescent="0.2">
      <c r="A62">
        <v>59</v>
      </c>
      <c r="B62">
        <v>27</v>
      </c>
      <c r="C62" t="s">
        <v>878</v>
      </c>
      <c r="D62" t="s">
        <v>877</v>
      </c>
      <c r="E62" t="s">
        <v>877</v>
      </c>
      <c r="F62" t="s">
        <v>876</v>
      </c>
      <c r="G62" t="s">
        <v>875</v>
      </c>
      <c r="H62" t="s">
        <v>874</v>
      </c>
      <c r="I62" t="e">
        <f>- i also see repeated comments about the fact that the occupants of the new development will not use the alley way and instead will use the service road and southern access route given its proximity to public transport. i think those making the comments are failing to understand that the occupants of the proposed development will not have access to the service road due to the operation of the security gate. the only people who will have access to the service road from the side alley will be existing residents.</f>
        <v>#NAME?</v>
      </c>
      <c r="J62" t="e">
        <f>- i also see repeated comments about the fact that the occupants of the new development will not use the alley way and instead will use the service road and southern access route given its proximity to public transport. i think those making the comments are failing to understand that the occupants of the proposed development will not have access to the service road due to the operation of the security gate. the only people who will have access to the service road from the side alley will be existing residents.</f>
        <v>#NAME?</v>
      </c>
    </row>
    <row r="63" spans="1:10" x14ac:dyDescent="0.2">
      <c r="A63">
        <v>60</v>
      </c>
      <c r="B63">
        <v>36</v>
      </c>
      <c r="C63" t="s">
        <v>873</v>
      </c>
      <c r="D63" t="s">
        <v>872</v>
      </c>
      <c r="E63" t="s">
        <v>872</v>
      </c>
      <c r="F63" t="s">
        <v>871</v>
      </c>
      <c r="G63" t="s">
        <v>870</v>
      </c>
      <c r="H63" t="s">
        <v>869</v>
      </c>
      <c r="I63" t="s">
        <v>868</v>
      </c>
      <c r="J63" t="s">
        <v>868</v>
      </c>
    </row>
    <row r="64" spans="1:10" x14ac:dyDescent="0.2">
      <c r="A64">
        <v>61</v>
      </c>
      <c r="B64">
        <v>79</v>
      </c>
      <c r="C64" t="s">
        <v>867</v>
      </c>
      <c r="D64" t="s">
        <v>866</v>
      </c>
      <c r="E64" t="s">
        <v>866</v>
      </c>
      <c r="F64" t="s">
        <v>865</v>
      </c>
      <c r="G64" t="s">
        <v>864</v>
      </c>
      <c r="H64" t="s">
        <v>863</v>
      </c>
      <c r="I64" t="s">
        <v>862</v>
      </c>
      <c r="J64" t="s">
        <v>861</v>
      </c>
    </row>
    <row r="65" spans="1:10" x14ac:dyDescent="0.2">
      <c r="A65">
        <v>62</v>
      </c>
      <c r="B65">
        <v>34</v>
      </c>
      <c r="C65" t="s">
        <v>860</v>
      </c>
      <c r="D65" t="s">
        <v>859</v>
      </c>
      <c r="E65" t="s">
        <v>859</v>
      </c>
      <c r="F65" t="s">
        <v>858</v>
      </c>
      <c r="G65" t="s">
        <v>857</v>
      </c>
      <c r="H65" t="s">
        <v>856</v>
      </c>
      <c r="I65" t="s">
        <v>855</v>
      </c>
      <c r="J65" t="s">
        <v>854</v>
      </c>
    </row>
    <row r="66" spans="1:10" x14ac:dyDescent="0.2">
      <c r="A66">
        <v>63</v>
      </c>
      <c r="B66">
        <v>47</v>
      </c>
      <c r="C66" t="s">
        <v>853</v>
      </c>
      <c r="D66" t="s">
        <v>852</v>
      </c>
      <c r="E66" t="s">
        <v>852</v>
      </c>
      <c r="F66" t="s">
        <v>851</v>
      </c>
      <c r="G66" t="s">
        <v>850</v>
      </c>
      <c r="H66" t="s">
        <v>849</v>
      </c>
      <c r="I66" t="s">
        <v>849</v>
      </c>
      <c r="J66" t="s">
        <v>849</v>
      </c>
    </row>
    <row r="67" spans="1:10" x14ac:dyDescent="0.2">
      <c r="A67">
        <v>64</v>
      </c>
      <c r="B67">
        <v>43</v>
      </c>
      <c r="C67" t="s">
        <v>848</v>
      </c>
      <c r="D67" t="s">
        <v>847</v>
      </c>
      <c r="E67" t="s">
        <v>847</v>
      </c>
      <c r="F67" t="s">
        <v>846</v>
      </c>
      <c r="G67" t="s">
        <v>845</v>
      </c>
      <c r="H67" t="s">
        <v>844</v>
      </c>
      <c r="I67" t="e">
        <f>- all units have been designed to meet local and national design standards. all flats are dual aspect and have high quality private amenity space and also a shared rooftop communal terrace.</f>
        <v>#NAME?</v>
      </c>
      <c r="J67" t="s">
        <v>843</v>
      </c>
    </row>
    <row r="68" spans="1:10" x14ac:dyDescent="0.2">
      <c r="A68">
        <v>65</v>
      </c>
      <c r="B68">
        <v>34</v>
      </c>
      <c r="C68" t="s">
        <v>842</v>
      </c>
      <c r="D68" t="s">
        <v>841</v>
      </c>
      <c r="E68" t="s">
        <v>841</v>
      </c>
      <c r="F68" t="s">
        <v>840</v>
      </c>
      <c r="G68" t="s">
        <v>839</v>
      </c>
      <c r="H68" t="s">
        <v>838</v>
      </c>
      <c r="I68" t="s">
        <v>837</v>
      </c>
      <c r="J68" t="s">
        <v>836</v>
      </c>
    </row>
    <row r="69" spans="1:10" x14ac:dyDescent="0.2">
      <c r="A69">
        <v>66</v>
      </c>
      <c r="B69">
        <v>37</v>
      </c>
      <c r="C69" t="s">
        <v>835</v>
      </c>
      <c r="D69" t="s">
        <v>834</v>
      </c>
      <c r="E69" t="s">
        <v>834</v>
      </c>
      <c r="F69" t="s">
        <v>833</v>
      </c>
      <c r="G69" t="s">
        <v>832</v>
      </c>
      <c r="H69" t="s">
        <v>831</v>
      </c>
      <c r="I69" t="s">
        <v>830</v>
      </c>
      <c r="J69" t="s">
        <v>829</v>
      </c>
    </row>
    <row r="70" spans="1:10" x14ac:dyDescent="0.2">
      <c r="A70">
        <v>67</v>
      </c>
      <c r="B70">
        <v>23</v>
      </c>
      <c r="C70" t="s">
        <v>828</v>
      </c>
      <c r="D70" t="s">
        <v>827</v>
      </c>
      <c r="E70" t="s">
        <v>827</v>
      </c>
      <c r="F70" t="s">
        <v>826</v>
      </c>
      <c r="G70" t="s">
        <v>825</v>
      </c>
      <c r="H70" t="s">
        <v>824</v>
      </c>
      <c r="I70" t="s">
        <v>823</v>
      </c>
      <c r="J70" t="s">
        <v>822</v>
      </c>
    </row>
    <row r="71" spans="1:10" x14ac:dyDescent="0.2">
      <c r="A71">
        <v>68</v>
      </c>
      <c r="B71">
        <v>36</v>
      </c>
      <c r="C71" t="s">
        <v>821</v>
      </c>
      <c r="D71" t="s">
        <v>820</v>
      </c>
      <c r="E71" t="s">
        <v>820</v>
      </c>
      <c r="F71" t="s">
        <v>819</v>
      </c>
      <c r="G71" t="s">
        <v>818</v>
      </c>
      <c r="H71" t="s">
        <v>817</v>
      </c>
      <c r="I71" t="s">
        <v>817</v>
      </c>
      <c r="J71" t="s">
        <v>817</v>
      </c>
    </row>
    <row r="72" spans="1:10" x14ac:dyDescent="0.2">
      <c r="A72">
        <v>69</v>
      </c>
      <c r="B72">
        <v>28</v>
      </c>
      <c r="C72" t="s">
        <v>816</v>
      </c>
      <c r="D72" t="s">
        <v>815</v>
      </c>
      <c r="E72" t="s">
        <v>815</v>
      </c>
      <c r="F72" t="s">
        <v>814</v>
      </c>
      <c r="G72" t="s">
        <v>813</v>
      </c>
      <c r="H72" t="s">
        <v>812</v>
      </c>
      <c r="I72" t="s">
        <v>811</v>
      </c>
      <c r="J72" t="s">
        <v>810</v>
      </c>
    </row>
    <row r="73" spans="1:10" x14ac:dyDescent="0.2">
      <c r="A73">
        <v>70</v>
      </c>
      <c r="B73">
        <v>75</v>
      </c>
      <c r="C73" t="s">
        <v>809</v>
      </c>
      <c r="D73" t="s">
        <v>808</v>
      </c>
      <c r="E73" t="s">
        <v>808</v>
      </c>
      <c r="F73" t="s">
        <v>807</v>
      </c>
      <c r="G73" t="s">
        <v>806</v>
      </c>
      <c r="H73" t="s">
        <v>805</v>
      </c>
      <c r="I73" t="e">
        <f>- open space including green space, which we believe will be a benefit to the area.</f>
        <v>#NAME?</v>
      </c>
      <c r="J73" t="s">
        <v>805</v>
      </c>
    </row>
    <row r="74" spans="1:10" x14ac:dyDescent="0.2">
      <c r="A74">
        <v>71</v>
      </c>
      <c r="B74">
        <v>26</v>
      </c>
      <c r="C74" t="s">
        <v>804</v>
      </c>
      <c r="D74" t="s">
        <v>803</v>
      </c>
      <c r="E74" t="s">
        <v>803</v>
      </c>
      <c r="F74" t="s">
        <v>802</v>
      </c>
      <c r="G74" t="s">
        <v>801</v>
      </c>
      <c r="H74" t="s">
        <v>800</v>
      </c>
      <c r="I74" t="s">
        <v>799</v>
      </c>
      <c r="J74" t="s">
        <v>798</v>
      </c>
    </row>
    <row r="75" spans="1:10" x14ac:dyDescent="0.2">
      <c r="A75">
        <v>72</v>
      </c>
      <c r="B75">
        <v>182</v>
      </c>
      <c r="C75" t="s">
        <v>797</v>
      </c>
      <c r="D75" t="s">
        <v>796</v>
      </c>
      <c r="E75" t="s">
        <v>796</v>
      </c>
      <c r="F75" t="s">
        <v>795</v>
      </c>
      <c r="G75" t="s">
        <v>794</v>
      </c>
      <c r="H75" t="s">
        <v>793</v>
      </c>
      <c r="I75" t="s">
        <v>792</v>
      </c>
      <c r="J75" t="s">
        <v>791</v>
      </c>
    </row>
    <row r="76" spans="1:10" x14ac:dyDescent="0.2">
      <c r="A76">
        <v>73</v>
      </c>
      <c r="B76">
        <v>42</v>
      </c>
      <c r="C76" t="s">
        <v>790</v>
      </c>
      <c r="D76" t="s">
        <v>789</v>
      </c>
      <c r="E76" t="s">
        <v>789</v>
      </c>
      <c r="F76" t="s">
        <v>788</v>
      </c>
      <c r="G76" t="s">
        <v>787</v>
      </c>
      <c r="H76" t="s">
        <v>786</v>
      </c>
      <c r="I76" t="s">
        <v>785</v>
      </c>
      <c r="J76" t="s">
        <v>785</v>
      </c>
    </row>
    <row r="77" spans="1:10" x14ac:dyDescent="0.2">
      <c r="A77">
        <v>74</v>
      </c>
      <c r="B77">
        <v>69</v>
      </c>
      <c r="C77" t="s">
        <v>784</v>
      </c>
      <c r="D77" t="s">
        <v>783</v>
      </c>
      <c r="E77" t="s">
        <v>783</v>
      </c>
      <c r="F77" t="s">
        <v>782</v>
      </c>
      <c r="G77" t="s">
        <v>781</v>
      </c>
      <c r="H77" t="s">
        <v>780</v>
      </c>
      <c r="I77" t="s">
        <v>779</v>
      </c>
      <c r="J77" t="s">
        <v>778</v>
      </c>
    </row>
    <row r="78" spans="1:10" x14ac:dyDescent="0.2">
      <c r="A78">
        <v>75</v>
      </c>
      <c r="B78">
        <v>43</v>
      </c>
      <c r="C78" t="s">
        <v>777</v>
      </c>
      <c r="D78" t="s">
        <v>776</v>
      </c>
      <c r="E78" t="s">
        <v>776</v>
      </c>
      <c r="F78" t="s">
        <v>775</v>
      </c>
      <c r="G78" t="s">
        <v>774</v>
      </c>
      <c r="H78" t="s">
        <v>773</v>
      </c>
      <c r="I78" t="s">
        <v>772</v>
      </c>
      <c r="J78" t="s">
        <v>771</v>
      </c>
    </row>
    <row r="79" spans="1:10" x14ac:dyDescent="0.2">
      <c r="A79">
        <v>76</v>
      </c>
      <c r="B79">
        <v>22</v>
      </c>
      <c r="C79" t="s">
        <v>770</v>
      </c>
      <c r="D79" t="s">
        <v>769</v>
      </c>
      <c r="E79" t="s">
        <v>769</v>
      </c>
      <c r="F79" t="s">
        <v>768</v>
      </c>
      <c r="G79" t="s">
        <v>767</v>
      </c>
      <c r="H79" t="s">
        <v>766</v>
      </c>
      <c r="I79" t="s">
        <v>765</v>
      </c>
      <c r="J79" t="s">
        <v>765</v>
      </c>
    </row>
    <row r="80" spans="1:10" x14ac:dyDescent="0.2">
      <c r="A80">
        <v>77</v>
      </c>
      <c r="B80">
        <v>56</v>
      </c>
      <c r="C80" t="s">
        <v>764</v>
      </c>
      <c r="D80" t="s">
        <v>763</v>
      </c>
      <c r="E80" t="s">
        <v>763</v>
      </c>
      <c r="F80" t="s">
        <v>762</v>
      </c>
      <c r="G80" t="s">
        <v>761</v>
      </c>
      <c r="H80" t="s">
        <v>760</v>
      </c>
      <c r="I80" t="s">
        <v>759</v>
      </c>
      <c r="J80" t="s">
        <v>758</v>
      </c>
    </row>
    <row r="81" spans="1:10" x14ac:dyDescent="0.2">
      <c r="A81">
        <v>78</v>
      </c>
      <c r="B81">
        <v>30</v>
      </c>
      <c r="C81" t="s">
        <v>757</v>
      </c>
      <c r="D81" t="s">
        <v>756</v>
      </c>
      <c r="E81" t="s">
        <v>756</v>
      </c>
      <c r="F81" t="s">
        <v>755</v>
      </c>
      <c r="G81" t="s">
        <v>754</v>
      </c>
      <c r="H81" t="s">
        <v>753</v>
      </c>
      <c r="I81" t="s">
        <v>753</v>
      </c>
      <c r="J81" t="s">
        <v>753</v>
      </c>
    </row>
    <row r="82" spans="1:10" x14ac:dyDescent="0.2">
      <c r="A82">
        <v>79</v>
      </c>
      <c r="B82">
        <v>29</v>
      </c>
      <c r="C82" t="s">
        <v>752</v>
      </c>
      <c r="D82" t="s">
        <v>751</v>
      </c>
      <c r="E82" t="s">
        <v>751</v>
      </c>
      <c r="F82" t="s">
        <v>750</v>
      </c>
      <c r="G82" t="s">
        <v>749</v>
      </c>
      <c r="H82" t="s">
        <v>748</v>
      </c>
      <c r="I82" t="s">
        <v>748</v>
      </c>
      <c r="J82" t="s">
        <v>748</v>
      </c>
    </row>
    <row r="83" spans="1:10" x14ac:dyDescent="0.2">
      <c r="A83">
        <v>80</v>
      </c>
      <c r="B83">
        <v>26</v>
      </c>
      <c r="C83" t="s">
        <v>747</v>
      </c>
      <c r="D83" t="s">
        <v>746</v>
      </c>
      <c r="E83" t="s">
        <v>746</v>
      </c>
      <c r="F83" t="s">
        <v>745</v>
      </c>
      <c r="G83" t="s">
        <v>744</v>
      </c>
      <c r="H83" t="s">
        <v>743</v>
      </c>
      <c r="I83" t="s">
        <v>742</v>
      </c>
      <c r="J83" t="s">
        <v>741</v>
      </c>
    </row>
    <row r="84" spans="1:10" x14ac:dyDescent="0.2">
      <c r="A84">
        <v>81</v>
      </c>
      <c r="B84">
        <v>43</v>
      </c>
      <c r="C84" t="s">
        <v>740</v>
      </c>
      <c r="D84" t="s">
        <v>739</v>
      </c>
      <c r="E84" t="s">
        <v>739</v>
      </c>
      <c r="F84" t="s">
        <v>738</v>
      </c>
      <c r="G84" t="s">
        <v>737</v>
      </c>
      <c r="H84" t="s">
        <v>736</v>
      </c>
      <c r="I84" t="s">
        <v>735</v>
      </c>
      <c r="J84" t="s">
        <v>734</v>
      </c>
    </row>
    <row r="85" spans="1:10" x14ac:dyDescent="0.2">
      <c r="A85">
        <v>82</v>
      </c>
      <c r="B85">
        <v>40</v>
      </c>
      <c r="C85" t="s">
        <v>733</v>
      </c>
      <c r="D85" t="s">
        <v>732</v>
      </c>
      <c r="E85" t="s">
        <v>732</v>
      </c>
      <c r="F85" t="s">
        <v>731</v>
      </c>
      <c r="G85" t="s">
        <v>730</v>
      </c>
      <c r="H85" t="s">
        <v>729</v>
      </c>
      <c r="I85" t="s">
        <v>728</v>
      </c>
      <c r="J85" t="s">
        <v>727</v>
      </c>
    </row>
    <row r="86" spans="1:10" x14ac:dyDescent="0.2">
      <c r="A86">
        <v>83</v>
      </c>
      <c r="B86">
        <v>24</v>
      </c>
      <c r="C86" t="s">
        <v>726</v>
      </c>
      <c r="D86" t="s">
        <v>725</v>
      </c>
      <c r="E86" t="s">
        <v>725</v>
      </c>
      <c r="F86" t="s">
        <v>724</v>
      </c>
      <c r="G86" t="s">
        <v>723</v>
      </c>
      <c r="H86" t="s">
        <v>722</v>
      </c>
      <c r="I86" t="s">
        <v>721</v>
      </c>
      <c r="J86" t="s">
        <v>720</v>
      </c>
    </row>
    <row r="87" spans="1:10" x14ac:dyDescent="0.2">
      <c r="A87">
        <v>84</v>
      </c>
      <c r="B87">
        <v>49</v>
      </c>
      <c r="C87" t="s">
        <v>719</v>
      </c>
      <c r="D87" t="s">
        <v>718</v>
      </c>
      <c r="E87" t="s">
        <v>718</v>
      </c>
      <c r="F87" t="s">
        <v>717</v>
      </c>
      <c r="G87" t="s">
        <v>716</v>
      </c>
      <c r="H87" t="s">
        <v>715</v>
      </c>
      <c r="I87" t="s">
        <v>715</v>
      </c>
      <c r="J87" t="s">
        <v>715</v>
      </c>
    </row>
    <row r="88" spans="1:10" x14ac:dyDescent="0.2">
      <c r="A88">
        <v>85</v>
      </c>
      <c r="B88">
        <v>51</v>
      </c>
      <c r="C88" t="s">
        <v>714</v>
      </c>
      <c r="D88" t="s">
        <v>713</v>
      </c>
      <c r="E88" t="s">
        <v>713</v>
      </c>
      <c r="F88" t="s">
        <v>712</v>
      </c>
      <c r="G88" t="s">
        <v>711</v>
      </c>
      <c r="H88" t="s">
        <v>710</v>
      </c>
      <c r="I88" t="s">
        <v>710</v>
      </c>
      <c r="J88" t="s">
        <v>710</v>
      </c>
    </row>
    <row r="89" spans="1:10" x14ac:dyDescent="0.2">
      <c r="A89">
        <v>86</v>
      </c>
      <c r="B89">
        <v>22</v>
      </c>
      <c r="C89" t="s">
        <v>709</v>
      </c>
      <c r="D89" t="s">
        <v>708</v>
      </c>
      <c r="E89" t="s">
        <v>708</v>
      </c>
      <c r="F89" t="s">
        <v>707</v>
      </c>
      <c r="G89" t="s">
        <v>706</v>
      </c>
      <c r="H89" t="e">
        <f>- this application addresses the appeal inspectors comments ( supported by the applicants barrister ) and therefore should be granted planning permission by the council.</f>
        <v>#NAME?</v>
      </c>
      <c r="I89" t="s">
        <v>705</v>
      </c>
      <c r="J89" t="e">
        <f>- the proposed also addresses the appeal inspectors comments really well.</f>
        <v>#NAME?</v>
      </c>
    </row>
    <row r="90" spans="1:10" x14ac:dyDescent="0.2">
      <c r="A90">
        <v>87</v>
      </c>
      <c r="B90">
        <v>21</v>
      </c>
      <c r="C90" t="s">
        <v>704</v>
      </c>
      <c r="D90" t="s">
        <v>703</v>
      </c>
      <c r="E90" t="s">
        <v>703</v>
      </c>
      <c r="F90" t="s">
        <v>702</v>
      </c>
      <c r="G90" t="s">
        <v>701</v>
      </c>
      <c r="H90" t="s">
        <v>700</v>
      </c>
      <c r="I90" t="s">
        <v>699</v>
      </c>
      <c r="J90" t="s">
        <v>698</v>
      </c>
    </row>
    <row r="91" spans="1:10" x14ac:dyDescent="0.2">
      <c r="A91">
        <v>88</v>
      </c>
      <c r="B91">
        <v>26</v>
      </c>
      <c r="C91" t="s">
        <v>697</v>
      </c>
      <c r="D91" t="s">
        <v>696</v>
      </c>
      <c r="E91" t="s">
        <v>696</v>
      </c>
      <c r="F91" t="s">
        <v>695</v>
      </c>
      <c r="G91" t="s">
        <v>694</v>
      </c>
      <c r="H91" t="s">
        <v>693</v>
      </c>
      <c r="I91" t="s">
        <v>692</v>
      </c>
      <c r="J91" t="s">
        <v>691</v>
      </c>
    </row>
    <row r="92" spans="1:10" x14ac:dyDescent="0.2">
      <c r="A92">
        <v>89</v>
      </c>
      <c r="B92">
        <v>89</v>
      </c>
      <c r="C92" t="s">
        <v>690</v>
      </c>
      <c r="D92" t="s">
        <v>689</v>
      </c>
      <c r="E92" t="s">
        <v>689</v>
      </c>
      <c r="F92" t="s">
        <v>688</v>
      </c>
      <c r="G92" t="s">
        <v>687</v>
      </c>
      <c r="H92" t="s">
        <v>686</v>
      </c>
      <c r="I92" t="s">
        <v>685</v>
      </c>
      <c r="J92" t="s">
        <v>684</v>
      </c>
    </row>
    <row r="93" spans="1:10" x14ac:dyDescent="0.2">
      <c r="A93">
        <v>90</v>
      </c>
      <c r="B93">
        <v>31</v>
      </c>
      <c r="C93" t="s">
        <v>683</v>
      </c>
      <c r="D93" t="s">
        <v>682</v>
      </c>
      <c r="E93" t="s">
        <v>682</v>
      </c>
      <c r="F93" t="s">
        <v>681</v>
      </c>
      <c r="G93" t="s">
        <v>680</v>
      </c>
      <c r="H93" t="s">
        <v>679</v>
      </c>
      <c r="I93" t="s">
        <v>678</v>
      </c>
      <c r="J93" t="s">
        <v>678</v>
      </c>
    </row>
    <row r="94" spans="1:10" x14ac:dyDescent="0.2">
      <c r="A94">
        <v>91</v>
      </c>
      <c r="B94">
        <v>271</v>
      </c>
      <c r="C94" t="s">
        <v>677</v>
      </c>
      <c r="D94" t="s">
        <v>676</v>
      </c>
      <c r="E94" t="s">
        <v>676</v>
      </c>
      <c r="F94" t="s">
        <v>675</v>
      </c>
      <c r="G94" t="s">
        <v>674</v>
      </c>
      <c r="H94" t="s">
        <v>673</v>
      </c>
      <c r="I94" t="s">
        <v>672</v>
      </c>
      <c r="J94" t="s">
        <v>671</v>
      </c>
    </row>
    <row r="95" spans="1:10" x14ac:dyDescent="0.2">
      <c r="A95">
        <v>92</v>
      </c>
      <c r="B95">
        <v>40</v>
      </c>
      <c r="C95" t="s">
        <v>670</v>
      </c>
      <c r="D95" t="s">
        <v>669</v>
      </c>
      <c r="E95" t="s">
        <v>669</v>
      </c>
      <c r="F95" t="s">
        <v>668</v>
      </c>
      <c r="G95" t="s">
        <v>667</v>
      </c>
      <c r="H95" t="s">
        <v>666</v>
      </c>
      <c r="I95" t="s">
        <v>665</v>
      </c>
      <c r="J95" t="s">
        <v>664</v>
      </c>
    </row>
    <row r="96" spans="1:10" x14ac:dyDescent="0.2">
      <c r="A96">
        <v>93</v>
      </c>
      <c r="B96">
        <v>57</v>
      </c>
      <c r="C96" t="s">
        <v>663</v>
      </c>
      <c r="D96" t="s">
        <v>662</v>
      </c>
      <c r="E96" t="s">
        <v>662</v>
      </c>
      <c r="F96" t="s">
        <v>661</v>
      </c>
      <c r="G96" t="s">
        <v>660</v>
      </c>
      <c r="H96" t="s">
        <v>659</v>
      </c>
      <c r="I96" t="s">
        <v>659</v>
      </c>
      <c r="J96" t="s">
        <v>659</v>
      </c>
    </row>
    <row r="97" spans="1:10" x14ac:dyDescent="0.2">
      <c r="A97">
        <v>94</v>
      </c>
      <c r="B97">
        <v>127</v>
      </c>
      <c r="C97" t="s">
        <v>658</v>
      </c>
      <c r="D97" t="s">
        <v>657</v>
      </c>
      <c r="E97" t="s">
        <v>657</v>
      </c>
      <c r="F97" t="s">
        <v>656</v>
      </c>
      <c r="G97" t="s">
        <v>655</v>
      </c>
      <c r="H97" t="s">
        <v>654</v>
      </c>
      <c r="I97" t="s">
        <v>654</v>
      </c>
      <c r="J97" t="s">
        <v>653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object_topics</vt:lpstr>
      <vt:lpstr>neutral_topics</vt:lpstr>
      <vt:lpstr>supports_topics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Taylor, Beatrice</dc:creator>
  <cp:lastModifiedBy>Taylor, Beatrice</cp:lastModifiedBy>
  <dcterms:created xsi:type="dcterms:W3CDTF">2025-10-21T13:52:55Z</dcterms:created>
  <dcterms:modified xsi:type="dcterms:W3CDTF">2025-10-21T14:57:22Z</dcterms:modified>
</cp:coreProperties>
</file>